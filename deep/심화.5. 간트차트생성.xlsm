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13af4bd50504767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showPivotChartFilter="1" defaultThemeVersion="124226"/>
  <bookViews>
    <workbookView xWindow="135" yWindow="90" windowWidth="21030" windowHeight="12390" firstSheet="1" activeTab="1"/>
  </bookViews>
  <sheets>
    <sheet name="공휴일" sheetId="8" state="hidden" r:id="rId1"/>
    <sheet name="프로젝트별현황" sheetId="11" r:id="rId2"/>
    <sheet name="직원별현황" sheetId="12" state="hidden" r:id="rId3"/>
    <sheet name="Sheet2" sheetId="10" state="hidden" r:id="rId4"/>
    <sheet name="Sheet7" sheetId="15" state="hidden" r:id="rId5"/>
  </sheets>
  <functionGroups/>
  <definedNames>
    <definedName name="_xlnm._FilterDatabase" localSheetId="3" hidden="1">Sheet2!$C$8:$F$11</definedName>
    <definedName name="_xlnm._FilterDatabase" localSheetId="1" hidden="1">프로젝트별현황!#REF!</definedName>
    <definedName name="총입력개수">#REF!</definedName>
  </definedNames>
  <calcPr calcId="125725"/>
</workbook>
</file>

<file path=xl/calcChain.xml><?xml version="1.0" encoding="utf-8"?>
<calcChain xmlns="http://schemas.openxmlformats.org/spreadsheetml/2006/main">
  <c r="K62" i="11"/>
  <c r="J62"/>
  <c r="M62" s="1"/>
  <c r="K61"/>
  <c r="J61"/>
  <c r="M61" s="1"/>
  <c r="K60"/>
  <c r="J60"/>
  <c r="M60" s="1"/>
  <c r="K59"/>
  <c r="J59"/>
  <c r="M59" s="1"/>
  <c r="K58"/>
  <c r="L58" s="1"/>
  <c r="J58"/>
  <c r="M58" s="1"/>
  <c r="K57"/>
  <c r="J57"/>
  <c r="M57" s="1"/>
  <c r="K56"/>
  <c r="L56" s="1"/>
  <c r="J56"/>
  <c r="M56" s="1"/>
  <c r="K55"/>
  <c r="J55"/>
  <c r="M55" s="1"/>
  <c r="K54"/>
  <c r="J54"/>
  <c r="M54" s="1"/>
  <c r="K53"/>
  <c r="J53"/>
  <c r="M53" s="1"/>
  <c r="K52"/>
  <c r="L52" s="1"/>
  <c r="J52"/>
  <c r="M52" s="1"/>
  <c r="K51"/>
  <c r="J51"/>
  <c r="M51" s="1"/>
  <c r="M50"/>
  <c r="K50"/>
  <c r="J50"/>
  <c r="K49"/>
  <c r="L49" s="1"/>
  <c r="J49"/>
  <c r="M49" s="1"/>
  <c r="K48"/>
  <c r="J48"/>
  <c r="M48" s="1"/>
  <c r="K47"/>
  <c r="J47"/>
  <c r="M47" s="1"/>
  <c r="K46"/>
  <c r="J46"/>
  <c r="M46" s="1"/>
  <c r="M45"/>
  <c r="K45"/>
  <c r="L45" s="1"/>
  <c r="J45"/>
  <c r="K44"/>
  <c r="J44"/>
  <c r="M44" s="1"/>
  <c r="K43"/>
  <c r="J43"/>
  <c r="M43" s="1"/>
  <c r="K42"/>
  <c r="J42"/>
  <c r="M42" s="1"/>
  <c r="K41"/>
  <c r="J41"/>
  <c r="M41" s="1"/>
  <c r="K40"/>
  <c r="J40"/>
  <c r="M40" s="1"/>
  <c r="K39"/>
  <c r="J39"/>
  <c r="M39" s="1"/>
  <c r="K38"/>
  <c r="J38"/>
  <c r="M38" s="1"/>
  <c r="K37"/>
  <c r="J37"/>
  <c r="M37" s="1"/>
  <c r="K36"/>
  <c r="J36"/>
  <c r="M36" s="1"/>
  <c r="K35"/>
  <c r="J35"/>
  <c r="M35" s="1"/>
  <c r="K34"/>
  <c r="J34"/>
  <c r="M34" s="1"/>
  <c r="K33"/>
  <c r="L33" s="1"/>
  <c r="J33"/>
  <c r="M33" s="1"/>
  <c r="K32"/>
  <c r="J32"/>
  <c r="M32" s="1"/>
  <c r="K31"/>
  <c r="J31"/>
  <c r="M31" s="1"/>
  <c r="K30"/>
  <c r="J30"/>
  <c r="M30" s="1"/>
  <c r="K29"/>
  <c r="J29"/>
  <c r="M29" s="1"/>
  <c r="K28"/>
  <c r="J28"/>
  <c r="M28" s="1"/>
  <c r="K27"/>
  <c r="J27"/>
  <c r="M27" s="1"/>
  <c r="K26"/>
  <c r="L26" s="1"/>
  <c r="J26"/>
  <c r="M26" s="1"/>
  <c r="K25"/>
  <c r="J25"/>
  <c r="M25" s="1"/>
  <c r="K24"/>
  <c r="L24" s="1"/>
  <c r="J24"/>
  <c r="M24" s="1"/>
  <c r="K23"/>
  <c r="J23"/>
  <c r="M23" s="1"/>
  <c r="K22"/>
  <c r="J22"/>
  <c r="M22" s="1"/>
  <c r="K21"/>
  <c r="J21"/>
  <c r="M21" s="1"/>
  <c r="K20"/>
  <c r="L20" s="1"/>
  <c r="J20"/>
  <c r="M20" s="1"/>
  <c r="K19"/>
  <c r="J19"/>
  <c r="M19" s="1"/>
  <c r="M18"/>
  <c r="K18"/>
  <c r="J18"/>
  <c r="K17"/>
  <c r="L17" s="1"/>
  <c r="J17"/>
  <c r="M17" s="1"/>
  <c r="K16"/>
  <c r="J16"/>
  <c r="M16" s="1"/>
  <c r="K15"/>
  <c r="J15"/>
  <c r="M15" s="1"/>
  <c r="K14"/>
  <c r="J14"/>
  <c r="L29" l="1"/>
  <c r="L36"/>
  <c r="L40"/>
  <c r="L42"/>
  <c r="L61"/>
  <c r="L16"/>
  <c r="L18"/>
  <c r="L25"/>
  <c r="L32"/>
  <c r="L34"/>
  <c r="L41"/>
  <c r="L48"/>
  <c r="L50"/>
  <c r="L57"/>
  <c r="L21"/>
  <c r="L28"/>
  <c r="L37"/>
  <c r="L44"/>
  <c r="L53"/>
  <c r="L60"/>
  <c r="L14"/>
  <c r="L22"/>
  <c r="L30"/>
  <c r="L38"/>
  <c r="L46"/>
  <c r="L54"/>
  <c r="L62"/>
  <c r="L15"/>
  <c r="L19"/>
  <c r="L23"/>
  <c r="L27"/>
  <c r="L31"/>
  <c r="L35"/>
  <c r="L39"/>
  <c r="L43"/>
  <c r="L47"/>
  <c r="L51"/>
  <c r="L55"/>
  <c r="L59"/>
  <c r="M14"/>
  <c r="I3" i="10" l="1"/>
  <c r="I2"/>
  <c r="B3"/>
  <c r="B2"/>
</calcChain>
</file>

<file path=xl/sharedStrings.xml><?xml version="1.0" encoding="utf-8"?>
<sst xmlns="http://schemas.openxmlformats.org/spreadsheetml/2006/main" count="407" uniqueCount="247">
  <si>
    <t>대구은행 신용리스크관리시 시스템 재개발</t>
  </si>
  <si>
    <t>JB금융지주 그룹 신용리스크 내부등급법 시스템 구축</t>
  </si>
  <si>
    <t>국민은행 Rule기반 기업여신 자동심사승인 모형</t>
  </si>
  <si>
    <t>농협금융 일반기업 신용평가모형 개선 개발</t>
  </si>
  <si>
    <t>농협중앙회 신용평가모형 개선</t>
  </si>
  <si>
    <t>서울보증보험 기업신용평가시스템 고도화</t>
  </si>
  <si>
    <t>수협은행 기업신용평가 모형 및 시스템 개선개발</t>
  </si>
  <si>
    <t>우리은행 M/S 및 기업신용평가모형 개선</t>
  </si>
  <si>
    <t>우리은행 기업여신 자동심사 프로세스 신설</t>
  </si>
  <si>
    <t>우리지주 내부등급법 이행 시스템 구축</t>
  </si>
  <si>
    <t>BNK지주 내부등급법 도입</t>
  </si>
  <si>
    <t>하나은행 기업신용평가 프로세스 개선</t>
  </si>
  <si>
    <t>2019-06-06</t>
  </si>
  <si>
    <t>2019-01-01</t>
  </si>
  <si>
    <t>2019-02-04</t>
  </si>
  <si>
    <t>2019-02-05</t>
  </si>
  <si>
    <t>2019-02-06</t>
  </si>
  <si>
    <t>2019-03-01</t>
  </si>
  <si>
    <t>2019-08-15</t>
  </si>
  <si>
    <t>2019-09-12</t>
  </si>
  <si>
    <t>2019-09-13</t>
  </si>
  <si>
    <t>2019-10-03</t>
  </si>
  <si>
    <t>2019-10-09</t>
  </si>
  <si>
    <t>2019-12-25</t>
  </si>
  <si>
    <t>2020-01-01</t>
  </si>
  <si>
    <t>2020-01-24</t>
  </si>
  <si>
    <t>공휴일</t>
    <phoneticPr fontId="3" type="noConversion"/>
  </si>
  <si>
    <t>공휴일명</t>
    <phoneticPr fontId="1" type="noConversion"/>
  </si>
  <si>
    <t>2018-01-01</t>
  </si>
  <si>
    <t>신정(양력설)</t>
  </si>
  <si>
    <t>2018-02-15</t>
  </si>
  <si>
    <t>설날 연휴</t>
  </si>
  <si>
    <t>2018-02-16</t>
  </si>
  <si>
    <t>설날</t>
  </si>
  <si>
    <t>2018-02-17</t>
  </si>
  <si>
    <t>2018-03-01</t>
  </si>
  <si>
    <t>3·1절</t>
  </si>
  <si>
    <t>2018-05-05</t>
  </si>
  <si>
    <t>어린이날</t>
  </si>
  <si>
    <t>2018-05-22</t>
  </si>
  <si>
    <t>부처님 오신날</t>
  </si>
  <si>
    <t>2018-06-06</t>
  </si>
  <si>
    <t>현충일</t>
  </si>
  <si>
    <t>2018-08-15</t>
  </si>
  <si>
    <t>광복절</t>
  </si>
  <si>
    <t>2018-09-23</t>
  </si>
  <si>
    <t>추석 연휴</t>
  </si>
  <si>
    <t>2018-09-24</t>
  </si>
  <si>
    <t>추석</t>
  </si>
  <si>
    <t>2018-09-25</t>
  </si>
  <si>
    <t>2018-10-03</t>
  </si>
  <si>
    <t>개천절</t>
  </si>
  <si>
    <t>2018-10-09</t>
  </si>
  <si>
    <t>한글날</t>
  </si>
  <si>
    <t>2018-12-25</t>
  </si>
  <si>
    <t>크리스마스</t>
  </si>
  <si>
    <t>2019-05-05</t>
  </si>
  <si>
    <t>2019-05-12</t>
  </si>
  <si>
    <t>2019-09-14</t>
  </si>
  <si>
    <t>2020-01-25</t>
  </si>
  <si>
    <t>2020-01-26</t>
  </si>
  <si>
    <t>2020-03-01</t>
  </si>
  <si>
    <t>2020-04-30</t>
  </si>
  <si>
    <t>2020-05-05</t>
  </si>
  <si>
    <t>2020-06-06</t>
  </si>
  <si>
    <t>2020-08-15</t>
  </si>
  <si>
    <t>2020-09-30</t>
  </si>
  <si>
    <t>2020-10-01</t>
  </si>
  <si>
    <t>2020-10-02</t>
  </si>
  <si>
    <t>2020-10-03</t>
  </si>
  <si>
    <t>2020-10-09</t>
  </si>
  <si>
    <t>2020-12-25</t>
  </si>
  <si>
    <t>2021-01-01</t>
  </si>
  <si>
    <t>2021-02-11</t>
  </si>
  <si>
    <t>2021-02-12</t>
  </si>
  <si>
    <t>2021-02-13</t>
  </si>
  <si>
    <t>2021-03-01</t>
  </si>
  <si>
    <t>2021-05-05</t>
  </si>
  <si>
    <t>2021-05-19</t>
  </si>
  <si>
    <t>2021-06-06</t>
  </si>
  <si>
    <t>2021-08-15</t>
  </si>
  <si>
    <t>2021-09-20</t>
  </si>
  <si>
    <t>2021-09-21</t>
  </si>
  <si>
    <t>2021-09-22</t>
  </si>
  <si>
    <t>2021-10-03</t>
  </si>
  <si>
    <t>2021-10-09</t>
  </si>
  <si>
    <t>2021-12-25</t>
  </si>
  <si>
    <t>2022-01-01</t>
  </si>
  <si>
    <t>2022-01-31</t>
  </si>
  <si>
    <t>2022-02-01</t>
  </si>
  <si>
    <t>2022-02-02</t>
  </si>
  <si>
    <t>2022-03-01</t>
  </si>
  <si>
    <t>2022-05-05</t>
  </si>
  <si>
    <t>2022-05-08</t>
  </si>
  <si>
    <t>2022-06-06</t>
  </si>
  <si>
    <t>2022-08-15</t>
  </si>
  <si>
    <t>2022-09-09</t>
  </si>
  <si>
    <t>2022-09-10</t>
  </si>
  <si>
    <t>2022-09-11</t>
  </si>
  <si>
    <t>2022-10-03</t>
  </si>
  <si>
    <t>2022-10-09</t>
  </si>
  <si>
    <t>2022-12-25</t>
  </si>
  <si>
    <t>2023-01-01</t>
  </si>
  <si>
    <t>2023-01-21</t>
  </si>
  <si>
    <t>2023-01-22</t>
  </si>
  <si>
    <t>2023-01-23</t>
  </si>
  <si>
    <t>2023-03-01</t>
  </si>
  <si>
    <t>2023-05-05</t>
  </si>
  <si>
    <t>2023-05-27</t>
  </si>
  <si>
    <t>2023-06-06</t>
  </si>
  <si>
    <t>2023-08-15</t>
  </si>
  <si>
    <t>2023-09-28</t>
  </si>
  <si>
    <t>2023-09-29</t>
  </si>
  <si>
    <t>2023-09-30</t>
  </si>
  <si>
    <t>2023-10-03</t>
  </si>
  <si>
    <t>2023-10-09</t>
  </si>
  <si>
    <t>2023-12-25</t>
  </si>
  <si>
    <t>프로젝트명</t>
    <phoneticPr fontId="3" type="noConversion"/>
  </si>
  <si>
    <t>투입일자</t>
    <phoneticPr fontId="3" type="noConversion"/>
  </si>
  <si>
    <t>철수일자</t>
    <phoneticPr fontId="3" type="noConversion"/>
  </si>
  <si>
    <t>aaa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</si>
  <si>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</si>
  <si>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</si>
  <si>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</si>
  <si>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</si>
  <si>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진행 기준</t>
    <phoneticPr fontId="3" type="noConversion"/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</si>
  <si>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</si>
  <si>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</si>
  <si>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</si>
  <si>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</si>
  <si>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</si>
  <si>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</si>
  <si>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</si>
  <si>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</si>
  <si>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</si>
  <si>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</si>
  <si>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투입율</t>
    <phoneticPr fontId="3" type="noConversion"/>
  </si>
  <si>
    <t>12/31_x000D_
W53</t>
  </si>
  <si>
    <t>2018_x000D_
W5</t>
  </si>
  <si>
    <t>02/25_x000D_
W9</t>
  </si>
  <si>
    <t>03/25_x000D_
W13</t>
  </si>
  <si>
    <t>04/22_x000D_
W17</t>
  </si>
  <si>
    <t>05/20_x000D_
W21</t>
  </si>
  <si>
    <t>06/17_x000D_
W25</t>
  </si>
  <si>
    <t>07/15_x000D_
W29</t>
  </si>
  <si>
    <t>08/12_x000D_
W33</t>
  </si>
  <si>
    <t>09/09_x000D_
W37</t>
  </si>
  <si>
    <t>10/07_x000D_
W41</t>
  </si>
  <si>
    <t>M11</t>
  </si>
  <si>
    <t>11/04_x000D_
W45</t>
  </si>
  <si>
    <t>M12</t>
  </si>
  <si>
    <t>12/02_x000D_
W49</t>
  </si>
  <si>
    <t>M13</t>
  </si>
  <si>
    <t>12/30_x000D_
W53</t>
  </si>
  <si>
    <t>M14</t>
  </si>
  <si>
    <t>2019_x000D_
W5</t>
  </si>
  <si>
    <t>M15</t>
  </si>
  <si>
    <t>02/24_x000D_
W9</t>
  </si>
  <si>
    <t>M16</t>
  </si>
  <si>
    <t>03/24_x000D_
W13</t>
  </si>
  <si>
    <t>M17</t>
  </si>
  <si>
    <t>04/21_x000D_
W17</t>
  </si>
  <si>
    <t>M18</t>
  </si>
  <si>
    <t>05/19_x000D_
W21</t>
  </si>
  <si>
    <t>M19</t>
  </si>
  <si>
    <t>06/16_x000D_
W25</t>
  </si>
  <si>
    <t>M20</t>
  </si>
  <si>
    <t>07/14_x000D_
W29</t>
  </si>
  <si>
    <t>M21</t>
  </si>
  <si>
    <t>08/11_x000D_
W33</t>
  </si>
  <si>
    <t>M22</t>
  </si>
  <si>
    <t>09/08_x000D_
W37</t>
  </si>
  <si>
    <t>M23</t>
  </si>
  <si>
    <t>10/06_x000D_
W41</t>
  </si>
  <si>
    <t>M24</t>
  </si>
  <si>
    <t>11/03_x000D_
W45</t>
  </si>
  <si>
    <t>M25</t>
  </si>
  <si>
    <t>12/01_x000D_
W49</t>
  </si>
  <si>
    <t>M26</t>
  </si>
  <si>
    <t>12/29_x000D_
W53</t>
  </si>
  <si>
    <t>M27</t>
  </si>
  <si>
    <t>2020_x000D_
W5</t>
  </si>
  <si>
    <t>M28</t>
  </si>
  <si>
    <t>전체</t>
  </si>
  <si>
    <t>계약 기준</t>
    <phoneticPr fontId="3" type="noConversion"/>
  </si>
  <si>
    <t>투입인원</t>
    <phoneticPr fontId="3" type="noConversion"/>
  </si>
  <si>
    <t>실투입일수</t>
    <phoneticPr fontId="3" type="noConversion"/>
  </si>
  <si>
    <t>계약기준
영업일수</t>
    <phoneticPr fontId="3" type="noConversion"/>
  </si>
  <si>
    <t>진행기준
영업일수</t>
    <phoneticPr fontId="3" type="noConversion"/>
  </si>
  <si>
    <t>실투입기준
투입율</t>
    <phoneticPr fontId="3" type="noConversion"/>
  </si>
  <si>
    <t>기간대비
투입율</t>
    <phoneticPr fontId="3" type="noConversion"/>
  </si>
  <si>
    <t>전체: 기간대비 투입율: 119.43 % 실투입기준 투입율: 119.43 %</t>
  </si>
  <si>
    <t>전체: 기간대비 투입율: 124.71 % 실투입기준 투입율: 108.04 %</t>
  </si>
  <si>
    <t>전체: 기간대비 투입율: 100 % 실투입기준 투입율: 116.47 %</t>
  </si>
  <si>
    <t>홍길동</t>
  </si>
  <si>
    <t>성명1</t>
  </si>
  <si>
    <t>성명2</t>
  </si>
  <si>
    <t>성명3</t>
  </si>
  <si>
    <t>성명4</t>
  </si>
  <si>
    <t>성명5</t>
  </si>
  <si>
    <t>성명6</t>
  </si>
  <si>
    <t>성명7</t>
  </si>
  <si>
    <t>성명8</t>
  </si>
  <si>
    <t>성명9</t>
  </si>
  <si>
    <t>성명10</t>
  </si>
  <si>
    <t>성명1</t>
    <phoneticPr fontId="3" type="noConversion"/>
  </si>
  <si>
    <t>성명3: 기간대비 투입율: 106.65 % 실투입기준 투입율: 55.9 %</t>
  </si>
  <si>
    <t>성명4: 기간대비 투입율: 104.67 % 실투입기준 투입율: 104.67 %</t>
  </si>
  <si>
    <t>성명5: 기간대비 투입율: 102.36 % 실투입기준 투입율: 102.36 %</t>
  </si>
  <si>
    <t>전체: 기간대비 투입율: 107.08 % 실투입기준 투입율: 107.08 %</t>
  </si>
  <si>
    <t>전체: 기간대비 투입율: 118.11 % 실투입기준 투입율: 118.11 %</t>
  </si>
  <si>
    <t>성명7: 기간대비 투입율: 100 % 실투입기준 투입율: 100 %</t>
  </si>
  <si>
    <t>성명8: 기간대비 투입율: 101.83 % 실투입기준 투입율: 101.83 %</t>
  </si>
  <si>
    <t>성명9: 기간대비 투입율: 101.83 % 실투입기준 투입율: 101.83 %</t>
  </si>
  <si>
    <t>성명10: 기간대비 투입율: 112.83 % 실투입기준 투입율: 91.84 %</t>
  </si>
  <si>
    <t>전체: 기간대비 투입율: 106.95 % 실투입기준 투입율: 106.95 %</t>
  </si>
  <si>
    <t>성명7: 기간대비 투입율: 111.23 % 실투입기준 투입율: 111.23 %</t>
  </si>
  <si>
    <t>성명7: 기간대비 투입율: 133.06 % 실투입기준 투입율: 133.06 %</t>
  </si>
  <si>
    <t>전체: 기간대비 투입율: 181.54 % 실투입기준 투입율: 181.54 %</t>
  </si>
  <si>
    <t>성명6: 기간대비 투입율: 100 % 실투입기준 투입율: 73.41 %</t>
  </si>
  <si>
    <t>전체: 기간대비 투입율: 100 % 실투입기준 투입율: 81.11 %</t>
  </si>
  <si>
    <t>성명5: 기간대비 투입율: 100 % 실투입기준 투입율: 100 %</t>
  </si>
  <si>
    <t>성명8: 기간대비 투입율: 119.43 % 실투입기준 투입율: 119.43 %</t>
  </si>
  <si>
    <t>성명6: 기간대비 투입율: 123.81 % 실투입기준 투입율: 123.81 %</t>
  </si>
  <si>
    <t>성명4: 기간대비 투입율: 123.81 % 실투입기준 투입율: 123.81 %</t>
  </si>
  <si>
    <t>성명9: 기간대비 투입율: 99.59 % 실투입기준 투입율: 75.73 %</t>
  </si>
  <si>
    <t>성명5: 기간대비 투입율: 99.59 % 실투입기준 투입율: 99.59 %</t>
  </si>
  <si>
    <t>성명10: 기간대비 투입율: 104.81 % 실투입기준 투입율: 104.81 %</t>
  </si>
  <si>
    <t>전체: 기간대비 투입율: 97.84 % 실투입기준 투입율: 97.84 %</t>
  </si>
  <si>
    <t>성명3: 기간대비 투입율: 99.55 % 실투입기준 투입율: 99.55 %</t>
  </si>
  <si>
    <t>성명2: 기간대비 투입율: 97.78 % 실투입기준 투입율: 97.78 %</t>
  </si>
  <si>
    <t>전체: 기간대비 투입율: 97.14 % 실투입기준 투입율: 97.14 %</t>
  </si>
  <si>
    <t>성명1: 기간대비 투입율: 116.75 % 실투입기준 투입율: 100.76 %</t>
  </si>
  <si>
    <t>성명5: 기간대비 투입율: 116.75 % 실투입기준 투입율: 116.75 %</t>
  </si>
  <si>
    <t>성명2: 기간대비 투입율: 109.15 % 실투입기준 투입율: 109.15 %</t>
  </si>
  <si>
    <t>성명5: 기간대비 투입율: 108.57 % 실투입기준 투입율: 71.43 %</t>
  </si>
  <si>
    <t>전체: 기간대비 투입율: 108.57 % 실투입기준 투입율: 108.57 %</t>
  </si>
  <si>
    <t>성명6: 기간대비 투입율: 100 % 실투입기준 투입율: 100 %</t>
  </si>
  <si>
    <t>성명7: 기간대비 투입율: 145.45 % 실투입기준 투입율: 145.45 %</t>
  </si>
  <si>
    <t>성명8: 기간대비 투입율: 96.33 % 실투입기준 투입율: 96.33 %</t>
  </si>
  <si>
    <t>성명9: 기간대비 투입율: 101.18 % 실투입기준 투입율: 101.18 %</t>
  </si>
  <si>
    <t>성명9: 기간대비 투입율: 124.71 % 실투입기준 투입율: 124.71 %</t>
  </si>
  <si>
    <t>성명9: 기간대비 투입율: 98.24 % 실투입기준 투입율: 98.24 %</t>
  </si>
  <si>
    <t>성명9: 기간대비 투입율: 102.33 % 실투입기준 투입율: 84.19 %</t>
  </si>
  <si>
    <t>전체: 기간대비 투입율: 103.81 % 실투입기준 투입율: 103.81 %</t>
  </si>
  <si>
    <t>성명9: 기간대비 투입율: 102.33 % 실투입기준 투입율: 102.33 %</t>
  </si>
  <si>
    <t>성명7: 기간대비 투입율: 102.94 % 실투입기준 투입율: 102.94 %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</si>
</sst>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sz val="10"/>
      <color theme="0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FFFFFF"/>
      <name val="맑은 고딕"/>
      <family val="2"/>
      <charset val="129"/>
      <scheme val="minor"/>
    </font>
    <font>
      <sz val="10"/>
      <color rgb="FFFFFFFF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0"/>
      <color rgb="FFFF88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3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88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30">
    <xf numFmtId="0" fontId="0" fillId="0" borderId="0" xfId="0">
      <alignment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left" vertical="center"/>
    </xf>
    <xf numFmtId="14" fontId="0" fillId="0" borderId="0" xfId="0" applyNumberFormat="1">
      <alignment vertical="center"/>
    </xf>
    <xf numFmtId="0" fontId="0" fillId="3" borderId="0" xfId="0" applyFill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4" fontId="13" fillId="4" borderId="6" xfId="0" applyNumberFormat="1" applyFont="1" applyFill="1" applyBorder="1">
      <alignment vertical="center"/>
    </xf>
    <xf numFmtId="0" fontId="8" fillId="0" borderId="2" xfId="0" applyFont="1" applyFill="1" applyBorder="1">
      <alignment vertical="center"/>
    </xf>
    <xf numFmtId="176" fontId="9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9" fontId="8" fillId="0" borderId="0" xfId="0" applyNumberFormat="1" applyFont="1">
      <alignment vertical="center"/>
    </xf>
    <xf numFmtId="176" fontId="8" fillId="0" borderId="0" xfId="0" applyNumberFormat="1" applyFont="1">
      <alignment vertical="center"/>
    </xf>
    <xf numFmtId="14" fontId="5" fillId="2" borderId="2" xfId="1" applyNumberFormat="1" applyFont="1" applyFill="1" applyBorder="1" applyAlignment="1" applyProtection="1">
      <alignment horizontal="center" vertical="center"/>
    </xf>
    <xf numFmtId="14" fontId="5" fillId="2" borderId="3" xfId="1" applyNumberFormat="1" applyFont="1" applyFill="1" applyBorder="1" applyAlignment="1" applyProtection="1">
      <alignment horizontal="center" vertical="center"/>
    </xf>
    <xf numFmtId="14" fontId="5" fillId="2" borderId="7" xfId="1" applyNumberFormat="1" applyFont="1" applyFill="1" applyBorder="1" applyAlignment="1" applyProtection="1">
      <alignment horizontal="center" vertical="center"/>
    </xf>
    <xf numFmtId="0" fontId="10" fillId="4" borderId="6" xfId="0" applyFont="1" applyFill="1" applyBorder="1" applyAlignment="1">
      <alignment vertical="center"/>
    </xf>
    <xf numFmtId="0" fontId="11" fillId="4" borderId="6" xfId="0" applyFont="1" applyFill="1" applyBorder="1" applyAlignment="1">
      <alignment vertical="center" wrapText="1"/>
    </xf>
    <xf numFmtId="0" fontId="12" fillId="4" borderId="6" xfId="0" applyFont="1" applyFill="1" applyBorder="1" applyAlignment="1">
      <alignment vertical="center"/>
    </xf>
    <xf numFmtId="14" fontId="5" fillId="2" borderId="2" xfId="1" applyNumberFormat="1" applyFont="1" applyFill="1" applyBorder="1" applyAlignment="1" applyProtection="1">
      <alignment horizontal="center" vertical="center"/>
    </xf>
    <xf numFmtId="0" fontId="0" fillId="0" borderId="5" xfId="0" applyBorder="1" applyAlignment="1">
      <alignment horizontal="center" vertical="center"/>
    </xf>
    <xf numFmtId="14" fontId="7" fillId="2" borderId="2" xfId="1" applyNumberFormat="1" applyFont="1" applyFill="1" applyBorder="1" applyAlignment="1" applyProtection="1">
      <alignment horizontal="center" vertical="center" wrapText="1"/>
    </xf>
    <xf numFmtId="14" fontId="7" fillId="2" borderId="2" xfId="1" applyNumberFormat="1" applyFont="1" applyFill="1" applyBorder="1" applyAlignment="1" applyProtection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5" fillId="2" borderId="2" xfId="1" applyNumberFormat="1" applyFont="1" applyFill="1" applyBorder="1" applyAlignment="1" applyProtection="1">
      <alignment horizontal="center" vertical="center" wrapText="1"/>
    </xf>
    <xf numFmtId="0" fontId="0" fillId="0" borderId="4" xfId="0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  <colors>
    <mruColors>
      <color rgb="FF000000"/>
      <color rgb="FFFF88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0</xdr:row>
      <xdr:rowOff>152400</xdr:rowOff>
    </xdr:from>
    <xdr:to>
      <xdr:col>3</xdr:col>
      <xdr:colOff>628650</xdr:colOff>
      <xdr:row>3</xdr:row>
      <xdr:rowOff>57150</xdr:rowOff>
    </xdr:to>
    <xdr:sp macro="[0]!프로젝트별현황조회" textlink="">
      <xdr:nvSpPr>
        <xdr:cNvPr id="476" name="TextBox 475"/>
        <xdr:cNvSpPr txBox="1"/>
      </xdr:nvSpPr>
      <xdr:spPr>
        <a:xfrm>
          <a:off x="4410075" y="152400"/>
          <a:ext cx="523875" cy="342900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rtlCol="0" anchor="t"/>
        <a:lstStyle/>
        <a:p>
          <a:pPr algn="ctr"/>
          <a:r>
            <a:rPr lang="ko-KR" altLang="en-US" sz="1100"/>
            <a:t>조회</a:t>
          </a:r>
        </a:p>
      </xdr:txBody>
    </xdr:sp>
    <xdr:clientData/>
  </xdr:twoCellAnchor>
  <xdr:twoCellAnchor>
    <xdr:from>
      <xdr:col>26</xdr:col>
      <xdr:colOff>12700</xdr:colOff>
      <xdr:row>13</xdr:row>
      <xdr:rowOff>31432</xdr:rowOff>
    </xdr:from>
    <xdr:to>
      <xdr:col>96</xdr:col>
      <xdr:colOff>49195</xdr:colOff>
      <xdr:row>13</xdr:row>
      <xdr:rowOff>178117</xdr:rowOff>
    </xdr:to>
    <xdr:sp macro="" textlink="">
      <xdr:nvSpPr>
        <xdr:cNvPr id="238" name="직사각형 237">
          <a:hlinkClick xmlns:r="http://schemas.openxmlformats.org/officeDocument/2006/relationships" r:id="" tooltip="프로젝트명 : 대구은행 신용리스크관리시 시스템 재개발&#10;성명 : 성명3&#10;계약 : 2018-01-02~2019-04-30&#10;진행 : 2018-01-02~2019-05-31&#10;실투입일수 : 161.17&#10;기간대비 투입율 : 106.65&#10;실투입기준 투입율 : 55.9&#10;"/>
        </xdr:cNvPr>
        <xdr:cNvSpPr/>
      </xdr:nvSpPr>
      <xdr:spPr>
        <a:xfrm>
          <a:off x="7413625" y="2212657"/>
          <a:ext cx="1003774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13</xdr:row>
      <xdr:rowOff>83820</xdr:rowOff>
    </xdr:from>
    <xdr:to>
      <xdr:col>100</xdr:col>
      <xdr:colOff>121930</xdr:colOff>
      <xdr:row>13</xdr:row>
      <xdr:rowOff>125730</xdr:rowOff>
    </xdr:to>
    <xdr:sp macro="" textlink="">
      <xdr:nvSpPr>
        <xdr:cNvPr id="239" name="직사각형 238">
          <a:hlinkClick xmlns:r="http://schemas.openxmlformats.org/officeDocument/2006/relationships" r:id="" tooltip="프로젝트명 : 대구은행 신용리스크관리시 시스템 재개발&#10;성명 : 성명3&#10;계약 : 2018-01-02~2019-04-30&#10;진행 : 2018-01-02~2019-05-31&#10;실투입일수 : 161.17&#10;기간대비 투입율 : 106.65&#10;실투입기준 투입율 : 55.9&#10;"/>
        </xdr:cNvPr>
        <xdr:cNvSpPr/>
      </xdr:nvSpPr>
      <xdr:spPr>
        <a:xfrm>
          <a:off x="7413625" y="2265045"/>
          <a:ext cx="10681980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74</xdr:col>
      <xdr:colOff>75045</xdr:colOff>
      <xdr:row>14</xdr:row>
      <xdr:rowOff>31432</xdr:rowOff>
    </xdr:from>
    <xdr:to>
      <xdr:col>96</xdr:col>
      <xdr:colOff>49193</xdr:colOff>
      <xdr:row>14</xdr:row>
      <xdr:rowOff>178117</xdr:rowOff>
    </xdr:to>
    <xdr:sp macro="" textlink="">
      <xdr:nvSpPr>
        <xdr:cNvPr id="240" name="직사각형 239">
          <a:hlinkClick xmlns:r="http://schemas.openxmlformats.org/officeDocument/2006/relationships" r:id="" tooltip="프로젝트명 : 대구은행 신용리스크관리시 시스템 재개발&#10;성명 : 성명4&#10;계약 : 2018-12-01~2019-04-30&#10;진행 : 2018-12-06~2019-05-10&#10;실투입일수 : 112&#10;기간대비 투입율 : 104.67&#10;실투입기준 투입율 : 104.67&#10;"/>
        </xdr:cNvPr>
        <xdr:cNvSpPr/>
      </xdr:nvSpPr>
      <xdr:spPr>
        <a:xfrm>
          <a:off x="14333970" y="2422207"/>
          <a:ext cx="3117398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75</xdr:col>
      <xdr:colOff>36079</xdr:colOff>
      <xdr:row>14</xdr:row>
      <xdr:rowOff>83820</xdr:rowOff>
    </xdr:from>
    <xdr:to>
      <xdr:col>97</xdr:col>
      <xdr:colOff>114138</xdr:colOff>
      <xdr:row>14</xdr:row>
      <xdr:rowOff>125730</xdr:rowOff>
    </xdr:to>
    <xdr:sp macro="" textlink="">
      <xdr:nvSpPr>
        <xdr:cNvPr id="241" name="직사각형 240">
          <a:hlinkClick xmlns:r="http://schemas.openxmlformats.org/officeDocument/2006/relationships" r:id="" tooltip="프로젝트명 : 대구은행 신용리스크관리시 시스템 재개발&#10;성명 : 성명4&#10;계약 : 2018-12-01~2019-04-30&#10;진행 : 2018-12-06~2019-05-10&#10;실투입일수 : 112&#10;기간대비 투입율 : 104.67&#10;실투입기준 투입율 : 104.67&#10;"/>
        </xdr:cNvPr>
        <xdr:cNvSpPr/>
      </xdr:nvSpPr>
      <xdr:spPr>
        <a:xfrm>
          <a:off x="14437879" y="2474595"/>
          <a:ext cx="3221309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15</xdr:row>
      <xdr:rowOff>31432</xdr:rowOff>
    </xdr:from>
    <xdr:to>
      <xdr:col>96</xdr:col>
      <xdr:colOff>49195</xdr:colOff>
      <xdr:row>15</xdr:row>
      <xdr:rowOff>178117</xdr:rowOff>
    </xdr:to>
    <xdr:sp macro="" textlink="">
      <xdr:nvSpPr>
        <xdr:cNvPr id="242" name="직사각형 241">
          <a:hlinkClick xmlns:r="http://schemas.openxmlformats.org/officeDocument/2006/relationships" r:id="" tooltip="프로젝트명 : 대구은행 신용리스크관리시 시스템 재개발&#10;성명 : 성명5&#10;계약 : 2018-11-05~2019-04-30&#10;진행 : 2018-11-05~2019-05-03&#10;실투입일수 : 130&#10;기간대비 투입율 : 102.36&#10;실투입기준 투입율 : 102.36&#10;"/>
        </xdr:cNvPr>
        <xdr:cNvSpPr/>
      </xdr:nvSpPr>
      <xdr:spPr>
        <a:xfrm>
          <a:off x="13793643" y="2631757"/>
          <a:ext cx="365772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15</xdr:row>
      <xdr:rowOff>83820</xdr:rowOff>
    </xdr:from>
    <xdr:to>
      <xdr:col>96</xdr:col>
      <xdr:colOff>111540</xdr:colOff>
      <xdr:row>15</xdr:row>
      <xdr:rowOff>125730</xdr:rowOff>
    </xdr:to>
    <xdr:sp macro="" textlink="">
      <xdr:nvSpPr>
        <xdr:cNvPr id="243" name="직사각형 242">
          <a:hlinkClick xmlns:r="http://schemas.openxmlformats.org/officeDocument/2006/relationships" r:id="" tooltip="프로젝트명 : 대구은행 신용리스크관리시 시스템 재개발&#10;성명 : 성명5&#10;계약 : 2018-11-05~2019-04-30&#10;진행 : 2018-11-05~2019-05-03&#10;실투입일수 : 130&#10;기간대비 투입율 : 102.36&#10;실투입기준 투입율 : 102.36&#10;"/>
        </xdr:cNvPr>
        <xdr:cNvSpPr/>
      </xdr:nvSpPr>
      <xdr:spPr>
        <a:xfrm>
          <a:off x="13793643" y="2684145"/>
          <a:ext cx="372007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73</xdr:col>
      <xdr:colOff>51666</xdr:colOff>
      <xdr:row>16</xdr:row>
      <xdr:rowOff>31432</xdr:rowOff>
    </xdr:from>
    <xdr:to>
      <xdr:col>96</xdr:col>
      <xdr:colOff>49195</xdr:colOff>
      <xdr:row>16</xdr:row>
      <xdr:rowOff>178117</xdr:rowOff>
    </xdr:to>
    <xdr:sp macro="" textlink="">
      <xdr:nvSpPr>
        <xdr:cNvPr id="244" name="직사각형 243">
          <a:hlinkClick xmlns:r="http://schemas.openxmlformats.org/officeDocument/2006/relationships" r:id="" tooltip="프로젝트명 : 대구은행 신용리스크관리시 시스템 재개발&#10;성명 : 전체&#10;계약 : 2018-11-23~2019-04-30&#10;진행 : 2018-11-23~2019-05-10&#10;투입인원 : 1&#10;기간대비 투입율 : 107.08&#10;실투입기준 투입율 : 107.08&#10;"/>
        </xdr:cNvPr>
        <xdr:cNvSpPr/>
      </xdr:nvSpPr>
      <xdr:spPr>
        <a:xfrm>
          <a:off x="14167716" y="2841307"/>
          <a:ext cx="3283654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73</xdr:col>
      <xdr:colOff>51666</xdr:colOff>
      <xdr:row>16</xdr:row>
      <xdr:rowOff>83820</xdr:rowOff>
    </xdr:from>
    <xdr:to>
      <xdr:col>97</xdr:col>
      <xdr:colOff>114138</xdr:colOff>
      <xdr:row>16</xdr:row>
      <xdr:rowOff>125730</xdr:rowOff>
    </xdr:to>
    <xdr:sp macro="" textlink="">
      <xdr:nvSpPr>
        <xdr:cNvPr id="245" name="직사각형 244">
          <a:hlinkClick xmlns:r="http://schemas.openxmlformats.org/officeDocument/2006/relationships" r:id="" tooltip="프로젝트명 : 대구은행 신용리스크관리시 시스템 재개발&#10;성명 : 전체&#10;계약 : 2018-11-23~2019-04-30&#10;진행 : 2018-11-23~2019-05-10&#10;투입인원 : 1&#10;기간대비 투입율 : 107.08&#10;실투입기준 투입율 : 107.08&#10;"/>
        </xdr:cNvPr>
        <xdr:cNvSpPr/>
      </xdr:nvSpPr>
      <xdr:spPr>
        <a:xfrm>
          <a:off x="14167716" y="2893695"/>
          <a:ext cx="349147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25688</xdr:colOff>
      <xdr:row>17</xdr:row>
      <xdr:rowOff>83820</xdr:rowOff>
    </xdr:from>
    <xdr:to>
      <xdr:col>100</xdr:col>
      <xdr:colOff>121930</xdr:colOff>
      <xdr:row>17</xdr:row>
      <xdr:rowOff>125730</xdr:rowOff>
    </xdr:to>
    <xdr:sp macro="" textlink="">
      <xdr:nvSpPr>
        <xdr:cNvPr id="246" name="직사각형 245">
          <a:hlinkClick xmlns:r="http://schemas.openxmlformats.org/officeDocument/2006/relationships" r:id="" tooltip="프로젝트명 : 대구은행 신용리스크관리시 시스템 재개발&#10;성명 : 성명6&#10;계약 : ~&#10;진행 : 2019-01-02~2019-05-31&#10;실투입일수 : 108&#10;기간대비 투입율 : &#10;실투입기준 투입율 : &#10;"/>
        </xdr:cNvPr>
        <xdr:cNvSpPr/>
      </xdr:nvSpPr>
      <xdr:spPr>
        <a:xfrm>
          <a:off x="14998988" y="3103245"/>
          <a:ext cx="3096617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18</xdr:row>
      <xdr:rowOff>31432</xdr:rowOff>
    </xdr:from>
    <xdr:to>
      <xdr:col>96</xdr:col>
      <xdr:colOff>49195</xdr:colOff>
      <xdr:row>18</xdr:row>
      <xdr:rowOff>178117</xdr:rowOff>
    </xdr:to>
    <xdr:sp macro="" textlink="">
      <xdr:nvSpPr>
        <xdr:cNvPr id="247" name="직사각형 246">
          <a:hlinkClick xmlns:r="http://schemas.openxmlformats.org/officeDocument/2006/relationships" r:id="" tooltip="프로젝트명 : 대구은행 신용리스크관리시 시스템 재개발&#10;성명 : 전체&#10;계약 : 2018-11-05~2019-04-30&#10;진행 : 2018-11-05~2019-05-31&#10;투입인원 : 1&#10;기간대비 투입율 : 118.11&#10;실투입기준 투입율 : 118.11&#10;"/>
        </xdr:cNvPr>
        <xdr:cNvSpPr/>
      </xdr:nvSpPr>
      <xdr:spPr>
        <a:xfrm>
          <a:off x="13793643" y="3260407"/>
          <a:ext cx="365772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18</xdr:row>
      <xdr:rowOff>83820</xdr:rowOff>
    </xdr:from>
    <xdr:to>
      <xdr:col>100</xdr:col>
      <xdr:colOff>121932</xdr:colOff>
      <xdr:row>18</xdr:row>
      <xdr:rowOff>125729</xdr:rowOff>
    </xdr:to>
    <xdr:sp macro="" textlink="">
      <xdr:nvSpPr>
        <xdr:cNvPr id="248" name="직사각형 247">
          <a:hlinkClick xmlns:r="http://schemas.openxmlformats.org/officeDocument/2006/relationships" r:id="" tooltip="프로젝트명 : 대구은행 신용리스크관리시 시스템 재개발&#10;성명 : 전체&#10;계약 : 2018-11-05~2019-04-30&#10;진행 : 2018-11-05~2019-05-31&#10;투입인원 : 1&#10;기간대비 투입율 : 118.11&#10;실투입기준 투입율 : 118.11&#10;"/>
        </xdr:cNvPr>
        <xdr:cNvSpPr/>
      </xdr:nvSpPr>
      <xdr:spPr>
        <a:xfrm>
          <a:off x="13793643" y="3312795"/>
          <a:ext cx="4301964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19</xdr:row>
      <xdr:rowOff>31432</xdr:rowOff>
    </xdr:from>
    <xdr:to>
      <xdr:col>96</xdr:col>
      <xdr:colOff>49195</xdr:colOff>
      <xdr:row>19</xdr:row>
      <xdr:rowOff>178117</xdr:rowOff>
    </xdr:to>
    <xdr:sp macro="" textlink="">
      <xdr:nvSpPr>
        <xdr:cNvPr id="249" name="직사각형 248">
          <a:hlinkClick xmlns:r="http://schemas.openxmlformats.org/officeDocument/2006/relationships" r:id="" tooltip="프로젝트명 : 대구은행 신용리스크관리시 시스템 재개발&#10;성명 : 성명7&#10;계약 : 2018-01-02~2019-04-30&#10;진행 : 2018-01-02~2019-04-30&#10;실투입일수 : 346&#10;기간대비 투입율 : 100&#10;실투입기준 투입율 : 100&#10;"/>
        </xdr:cNvPr>
        <xdr:cNvSpPr/>
      </xdr:nvSpPr>
      <xdr:spPr>
        <a:xfrm>
          <a:off x="7413625" y="3469957"/>
          <a:ext cx="1003774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19</xdr:row>
      <xdr:rowOff>83820</xdr:rowOff>
    </xdr:from>
    <xdr:to>
      <xdr:col>96</xdr:col>
      <xdr:colOff>49195</xdr:colOff>
      <xdr:row>19</xdr:row>
      <xdr:rowOff>125729</xdr:rowOff>
    </xdr:to>
    <xdr:sp macro="" textlink="">
      <xdr:nvSpPr>
        <xdr:cNvPr id="250" name="직사각형 249">
          <a:hlinkClick xmlns:r="http://schemas.openxmlformats.org/officeDocument/2006/relationships" r:id="" tooltip="프로젝트명 : 대구은행 신용리스크관리시 시스템 재개발&#10;성명 : 성명7&#10;계약 : 2018-01-02~2019-04-30&#10;진행 : 2018-01-02~2019-04-30&#10;실투입일수 : 346&#10;기간대비 투입율 : 100&#10;실투입기준 투입율 : 100&#10;"/>
        </xdr:cNvPr>
        <xdr:cNvSpPr/>
      </xdr:nvSpPr>
      <xdr:spPr>
        <a:xfrm>
          <a:off x="7413625" y="3522345"/>
          <a:ext cx="10037745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49</xdr:col>
      <xdr:colOff>72447</xdr:colOff>
      <xdr:row>20</xdr:row>
      <xdr:rowOff>31432</xdr:rowOff>
    </xdr:from>
    <xdr:to>
      <xdr:col>82</xdr:col>
      <xdr:colOff>116735</xdr:colOff>
      <xdr:row>20</xdr:row>
      <xdr:rowOff>178117</xdr:rowOff>
    </xdr:to>
    <xdr:sp macro="" textlink="">
      <xdr:nvSpPr>
        <xdr:cNvPr id="251" name="직사각형 250">
          <a:hlinkClick xmlns:r="http://schemas.openxmlformats.org/officeDocument/2006/relationships" r:id="" tooltip="프로젝트명 : 수협은행 기업신용평가 모형 및 시스템 개선개발&#10;성명 : 성명8&#10;계약 : 2018-06-12~2019-01-27&#10;진행 : 2018-06-12~2019-01-30&#10;실투입일수 : 167&#10;기간대비 투입율 : 101.83&#10;실투입기준 투입율 : 101.83&#10;"/>
        </xdr:cNvPr>
        <xdr:cNvSpPr/>
      </xdr:nvSpPr>
      <xdr:spPr>
        <a:xfrm>
          <a:off x="10759497" y="3679507"/>
          <a:ext cx="4759163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49</xdr:col>
      <xdr:colOff>72447</xdr:colOff>
      <xdr:row>20</xdr:row>
      <xdr:rowOff>83820</xdr:rowOff>
    </xdr:from>
    <xdr:to>
      <xdr:col>83</xdr:col>
      <xdr:colOff>36205</xdr:colOff>
      <xdr:row>20</xdr:row>
      <xdr:rowOff>125729</xdr:rowOff>
    </xdr:to>
    <xdr:sp macro="" textlink="">
      <xdr:nvSpPr>
        <xdr:cNvPr id="252" name="직사각형 251">
          <a:hlinkClick xmlns:r="http://schemas.openxmlformats.org/officeDocument/2006/relationships" r:id="" tooltip="프로젝트명 : 수협은행 기업신용평가 모형 및 시스템 개선개발&#10;성명 : 성명8&#10;계약 : 2018-06-12~2019-01-27&#10;진행 : 2018-06-12~2019-01-30&#10;실투입일수 : 167&#10;기간대비 투입율 : 101.83&#10;실투입기준 투입율 : 101.83&#10;"/>
        </xdr:cNvPr>
        <xdr:cNvSpPr/>
      </xdr:nvSpPr>
      <xdr:spPr>
        <a:xfrm>
          <a:off x="10759497" y="3731895"/>
          <a:ext cx="4821508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49</xdr:col>
      <xdr:colOff>72447</xdr:colOff>
      <xdr:row>21</xdr:row>
      <xdr:rowOff>31432</xdr:rowOff>
    </xdr:from>
    <xdr:to>
      <xdr:col>82</xdr:col>
      <xdr:colOff>116735</xdr:colOff>
      <xdr:row>21</xdr:row>
      <xdr:rowOff>178117</xdr:rowOff>
    </xdr:to>
    <xdr:sp macro="" textlink="">
      <xdr:nvSpPr>
        <xdr:cNvPr id="253" name="직사각형 252">
          <a:hlinkClick xmlns:r="http://schemas.openxmlformats.org/officeDocument/2006/relationships" r:id="" tooltip="프로젝트명 : 수협은행 기업신용평가 모형 및 시스템 개선개발&#10;성명 : 성명9&#10;계약 : 2018-06-12~2019-01-27&#10;진행 : 2018-06-12~2019-01-30&#10;실투입일수 : 167&#10;기간대비 투입율 : 101.83&#10;실투입기준 투입율 : 101.83&#10;"/>
        </xdr:cNvPr>
        <xdr:cNvSpPr/>
      </xdr:nvSpPr>
      <xdr:spPr>
        <a:xfrm>
          <a:off x="10759497" y="3889057"/>
          <a:ext cx="4759163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49</xdr:col>
      <xdr:colOff>72447</xdr:colOff>
      <xdr:row>21</xdr:row>
      <xdr:rowOff>83820</xdr:rowOff>
    </xdr:from>
    <xdr:to>
      <xdr:col>83</xdr:col>
      <xdr:colOff>36205</xdr:colOff>
      <xdr:row>21</xdr:row>
      <xdr:rowOff>125729</xdr:rowOff>
    </xdr:to>
    <xdr:sp macro="" textlink="">
      <xdr:nvSpPr>
        <xdr:cNvPr id="254" name="직사각형 253">
          <a:hlinkClick xmlns:r="http://schemas.openxmlformats.org/officeDocument/2006/relationships" r:id="" tooltip="프로젝트명 : 수협은행 기업신용평가 모형 및 시스템 개선개발&#10;성명 : 성명9&#10;계약 : 2018-06-12~2019-01-27&#10;진행 : 2018-06-12~2019-01-30&#10;실투입일수 : 167&#10;기간대비 투입율 : 101.83&#10;실투입기준 투입율 : 101.83&#10;"/>
        </xdr:cNvPr>
        <xdr:cNvSpPr/>
      </xdr:nvSpPr>
      <xdr:spPr>
        <a:xfrm>
          <a:off x="10759497" y="3941445"/>
          <a:ext cx="4821508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43</xdr:col>
      <xdr:colOff>36079</xdr:colOff>
      <xdr:row>22</xdr:row>
      <xdr:rowOff>31432</xdr:rowOff>
    </xdr:from>
    <xdr:to>
      <xdr:col>81</xdr:col>
      <xdr:colOff>10228</xdr:colOff>
      <xdr:row>22</xdr:row>
      <xdr:rowOff>178117</xdr:rowOff>
    </xdr:to>
    <xdr:sp macro="" textlink="">
      <xdr:nvSpPr>
        <xdr:cNvPr id="255" name="직사각형 254">
          <a:hlinkClick xmlns:r="http://schemas.openxmlformats.org/officeDocument/2006/relationships" r:id="" tooltip="프로젝트명 : 서울보증보험 기업신용평가시스템 고도화&#10;성명 : 성명10&#10;계약 : 2018-04-30~2019-01-15&#10;진행 : 2018-04-30~2019-02-18&#10;실투입일수 : 171.75&#10;기간대비 투입율 : 112.83&#10;실투입기준 투입율 : 91.84&#10;"/>
        </xdr:cNvPr>
        <xdr:cNvSpPr/>
      </xdr:nvSpPr>
      <xdr:spPr>
        <a:xfrm>
          <a:off x="9865879" y="4098607"/>
          <a:ext cx="54033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43</xdr:col>
      <xdr:colOff>36079</xdr:colOff>
      <xdr:row>22</xdr:row>
      <xdr:rowOff>83820</xdr:rowOff>
    </xdr:from>
    <xdr:to>
      <xdr:col>86</xdr:col>
      <xdr:colOff>2435</xdr:colOff>
      <xdr:row>22</xdr:row>
      <xdr:rowOff>125729</xdr:rowOff>
    </xdr:to>
    <xdr:sp macro="" textlink="">
      <xdr:nvSpPr>
        <xdr:cNvPr id="256" name="직사각형 255">
          <a:hlinkClick xmlns:r="http://schemas.openxmlformats.org/officeDocument/2006/relationships" r:id="" tooltip="프로젝트명 : 서울보증보험 기업신용평가시스템 고도화&#10;성명 : 성명10&#10;계약 : 2018-04-30~2019-01-15&#10;진행 : 2018-04-30~2019-02-18&#10;실투입일수 : 171.75&#10;기간대비 투입율 : 112.83&#10;실투입기준 투입율 : 91.84&#10;"/>
        </xdr:cNvPr>
        <xdr:cNvSpPr/>
      </xdr:nvSpPr>
      <xdr:spPr>
        <a:xfrm>
          <a:off x="9865879" y="4150995"/>
          <a:ext cx="6109981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43</xdr:col>
      <xdr:colOff>36079</xdr:colOff>
      <xdr:row>23</xdr:row>
      <xdr:rowOff>31432</xdr:rowOff>
    </xdr:from>
    <xdr:to>
      <xdr:col>81</xdr:col>
      <xdr:colOff>10228</xdr:colOff>
      <xdr:row>23</xdr:row>
      <xdr:rowOff>178117</xdr:rowOff>
    </xdr:to>
    <xdr:sp macro="" textlink="">
      <xdr:nvSpPr>
        <xdr:cNvPr id="257" name="직사각형 256">
          <a:hlinkClick xmlns:r="http://schemas.openxmlformats.org/officeDocument/2006/relationships" r:id="" tooltip="프로젝트명 : 서울보증보험 기업신용평가시스템 고도화&#10;성명 : 전체&#10;계약 : 2018-04-30~2019-01-15&#10;진행 : 2018-04-30~2019-02-01&#10;투입인원 : 1&#10;기간대비 투입율 : 106.95&#10;실투입기준 투입율 : 106.95&#10;"/>
        </xdr:cNvPr>
        <xdr:cNvSpPr/>
      </xdr:nvSpPr>
      <xdr:spPr>
        <a:xfrm>
          <a:off x="9865879" y="4308157"/>
          <a:ext cx="54033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43</xdr:col>
      <xdr:colOff>36079</xdr:colOff>
      <xdr:row>23</xdr:row>
      <xdr:rowOff>83820</xdr:rowOff>
    </xdr:from>
    <xdr:to>
      <xdr:col>83</xdr:col>
      <xdr:colOff>77768</xdr:colOff>
      <xdr:row>23</xdr:row>
      <xdr:rowOff>125729</xdr:rowOff>
    </xdr:to>
    <xdr:sp macro="" textlink="">
      <xdr:nvSpPr>
        <xdr:cNvPr id="258" name="직사각형 257">
          <a:hlinkClick xmlns:r="http://schemas.openxmlformats.org/officeDocument/2006/relationships" r:id="" tooltip="프로젝트명 : 서울보증보험 기업신용평가시스템 고도화&#10;성명 : 전체&#10;계약 : 2018-04-30~2019-01-15&#10;진행 : 2018-04-30~2019-02-01&#10;투입인원 : 1&#10;기간대비 투입율 : 106.95&#10;실투입기준 투입율 : 106.95&#10;"/>
        </xdr:cNvPr>
        <xdr:cNvSpPr/>
      </xdr:nvSpPr>
      <xdr:spPr>
        <a:xfrm>
          <a:off x="9865879" y="4360545"/>
          <a:ext cx="5756689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43</xdr:col>
      <xdr:colOff>36079</xdr:colOff>
      <xdr:row>24</xdr:row>
      <xdr:rowOff>31432</xdr:rowOff>
    </xdr:from>
    <xdr:to>
      <xdr:col>81</xdr:col>
      <xdr:colOff>10228</xdr:colOff>
      <xdr:row>24</xdr:row>
      <xdr:rowOff>178117</xdr:rowOff>
    </xdr:to>
    <xdr:sp macro="" textlink="">
      <xdr:nvSpPr>
        <xdr:cNvPr id="259" name="직사각형 258">
          <a:hlinkClick xmlns:r="http://schemas.openxmlformats.org/officeDocument/2006/relationships" r:id="" tooltip="프로젝트명 : 서울보증보험 기업신용평가시스템 고도화&#10;성명 : 성명7&#10;계약 : 2018-04-30~2019-01-15&#10;진행 : 2018-04-30~2019-02-13&#10;실투입일수 : 208&#10;기간대비 투입율 : 111.23&#10;실투입기준 투입율 : 111.23&#10;"/>
        </xdr:cNvPr>
        <xdr:cNvSpPr/>
      </xdr:nvSpPr>
      <xdr:spPr>
        <a:xfrm>
          <a:off x="9865879" y="4517707"/>
          <a:ext cx="54033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43</xdr:col>
      <xdr:colOff>36079</xdr:colOff>
      <xdr:row>24</xdr:row>
      <xdr:rowOff>83820</xdr:rowOff>
    </xdr:from>
    <xdr:to>
      <xdr:col>85</xdr:col>
      <xdr:colOff>41402</xdr:colOff>
      <xdr:row>24</xdr:row>
      <xdr:rowOff>125729</xdr:rowOff>
    </xdr:to>
    <xdr:sp macro="" textlink="">
      <xdr:nvSpPr>
        <xdr:cNvPr id="260" name="직사각형 259">
          <a:hlinkClick xmlns:r="http://schemas.openxmlformats.org/officeDocument/2006/relationships" r:id="" tooltip="프로젝트명 : 서울보증보험 기업신용평가시스템 고도화&#10;성명 : 성명7&#10;계약 : 2018-04-30~2019-01-15&#10;진행 : 2018-04-30~2019-02-13&#10;실투입일수 : 208&#10;기간대비 투입율 : 111.23&#10;실투입기준 투입율 : 111.23&#10;"/>
        </xdr:cNvPr>
        <xdr:cNvSpPr/>
      </xdr:nvSpPr>
      <xdr:spPr>
        <a:xfrm>
          <a:off x="9865879" y="4570095"/>
          <a:ext cx="6006073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56</xdr:col>
      <xdr:colOff>90631</xdr:colOff>
      <xdr:row>25</xdr:row>
      <xdr:rowOff>31432</xdr:rowOff>
    </xdr:from>
    <xdr:to>
      <xdr:col>81</xdr:col>
      <xdr:colOff>10228</xdr:colOff>
      <xdr:row>25</xdr:row>
      <xdr:rowOff>178117</xdr:rowOff>
    </xdr:to>
    <xdr:sp macro="" textlink="">
      <xdr:nvSpPr>
        <xdr:cNvPr id="261" name="직사각형 260">
          <a:hlinkClick xmlns:r="http://schemas.openxmlformats.org/officeDocument/2006/relationships" r:id="" tooltip="프로젝트명 : 서울보증보험 기업신용평가시스템 고도화&#10;성명 : 성명7&#10;계약 : 2018-07-31~2019-01-15&#10;진행 : 2018-07-09~2019-02-18&#10;실투입일수 : 161&#10;기간대비 투입율 : 133.06&#10;실투입기준 투입율 : 133.06&#10;"/>
        </xdr:cNvPr>
        <xdr:cNvSpPr/>
      </xdr:nvSpPr>
      <xdr:spPr>
        <a:xfrm>
          <a:off x="11777806" y="4727257"/>
          <a:ext cx="349147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53</xdr:col>
      <xdr:colOff>62056</xdr:colOff>
      <xdr:row>25</xdr:row>
      <xdr:rowOff>83820</xdr:rowOff>
    </xdr:from>
    <xdr:to>
      <xdr:col>86</xdr:col>
      <xdr:colOff>2435</xdr:colOff>
      <xdr:row>25</xdr:row>
      <xdr:rowOff>125729</xdr:rowOff>
    </xdr:to>
    <xdr:sp macro="" textlink="">
      <xdr:nvSpPr>
        <xdr:cNvPr id="262" name="직사각형 261">
          <a:hlinkClick xmlns:r="http://schemas.openxmlformats.org/officeDocument/2006/relationships" r:id="" tooltip="프로젝트명 : 서울보증보험 기업신용평가시스템 고도화&#10;성명 : 성명7&#10;계약 : 2018-07-31~2019-01-15&#10;진행 : 2018-07-09~2019-02-18&#10;실투입일수 : 161&#10;기간대비 투입율 : 133.06&#10;실투입기준 투입율 : 133.06&#10;"/>
        </xdr:cNvPr>
        <xdr:cNvSpPr/>
      </xdr:nvSpPr>
      <xdr:spPr>
        <a:xfrm>
          <a:off x="11320606" y="4779645"/>
          <a:ext cx="4655254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61</xdr:col>
      <xdr:colOff>82838</xdr:colOff>
      <xdr:row>26</xdr:row>
      <xdr:rowOff>31432</xdr:rowOff>
    </xdr:from>
    <xdr:to>
      <xdr:col>74</xdr:col>
      <xdr:colOff>54390</xdr:colOff>
      <xdr:row>26</xdr:row>
      <xdr:rowOff>178117</xdr:rowOff>
    </xdr:to>
    <xdr:sp macro="" textlink="">
      <xdr:nvSpPr>
        <xdr:cNvPr id="263" name="직사각형 262">
          <a:hlinkClick xmlns:r="http://schemas.openxmlformats.org/officeDocument/2006/relationships" r:id="" tooltip="프로젝트명 : 서울보증보험 기업신용평가시스템 고도화&#10;성명 : 전체&#10;계약 : 2018-09-03~2018-11-30&#10;진행 : 2018-09-05~2019-02-15&#10;투입인원 : 1&#10;기간대비 투입율 : 181.54&#10;실투입기준 투입율 : 181.54&#10;"/>
        </xdr:cNvPr>
        <xdr:cNvSpPr/>
      </xdr:nvSpPr>
      <xdr:spPr>
        <a:xfrm>
          <a:off x="12484388" y="4936807"/>
          <a:ext cx="182892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61</xdr:col>
      <xdr:colOff>124402</xdr:colOff>
      <xdr:row>26</xdr:row>
      <xdr:rowOff>83820</xdr:rowOff>
    </xdr:from>
    <xdr:to>
      <xdr:col>85</xdr:col>
      <xdr:colOff>82965</xdr:colOff>
      <xdr:row>26</xdr:row>
      <xdr:rowOff>125729</xdr:rowOff>
    </xdr:to>
    <xdr:sp macro="" textlink="">
      <xdr:nvSpPr>
        <xdr:cNvPr id="264" name="직사각형 263">
          <a:hlinkClick xmlns:r="http://schemas.openxmlformats.org/officeDocument/2006/relationships" r:id="" tooltip="프로젝트명 : 서울보증보험 기업신용평가시스템 고도화&#10;성명 : 전체&#10;계약 : 2018-09-03~2018-11-30&#10;진행 : 2018-09-05~2019-02-15&#10;투입인원 : 1&#10;기간대비 투입율 : 181.54&#10;실투입기준 투입율 : 181.54&#10;"/>
        </xdr:cNvPr>
        <xdr:cNvSpPr/>
      </xdr:nvSpPr>
      <xdr:spPr>
        <a:xfrm>
          <a:off x="12525952" y="4989195"/>
          <a:ext cx="3387563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27</xdr:row>
      <xdr:rowOff>31432</xdr:rowOff>
    </xdr:from>
    <xdr:to>
      <xdr:col>90</xdr:col>
      <xdr:colOff>95955</xdr:colOff>
      <xdr:row>27</xdr:row>
      <xdr:rowOff>178117</xdr:rowOff>
    </xdr:to>
    <xdr:sp macro="" textlink="">
      <xdr:nvSpPr>
        <xdr:cNvPr id="265" name="직사각형 264">
          <a:hlinkClick xmlns:r="http://schemas.openxmlformats.org/officeDocument/2006/relationships" r:id="" tooltip="프로젝트명 : BNK지주 내부등급법 도입&#10;성명 : 성명6&#10;계약 : 2019-01-07~2019-03-22&#10;진행 : 2019-01-07~2019-03-22&#10;실투입일수 : 32.3&#10;기간대비 투입율 : 100&#10;실투입기준 투입율 : 73.41&#10;"/>
        </xdr:cNvPr>
        <xdr:cNvSpPr/>
      </xdr:nvSpPr>
      <xdr:spPr>
        <a:xfrm>
          <a:off x="15102898" y="5146357"/>
          <a:ext cx="153798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27</xdr:row>
      <xdr:rowOff>83820</xdr:rowOff>
    </xdr:from>
    <xdr:to>
      <xdr:col>90</xdr:col>
      <xdr:colOff>95955</xdr:colOff>
      <xdr:row>27</xdr:row>
      <xdr:rowOff>125729</xdr:rowOff>
    </xdr:to>
    <xdr:sp macro="" textlink="">
      <xdr:nvSpPr>
        <xdr:cNvPr id="266" name="직사각형 265">
          <a:hlinkClick xmlns:r="http://schemas.openxmlformats.org/officeDocument/2006/relationships" r:id="" tooltip="프로젝트명 : BNK지주 내부등급법 도입&#10;성명 : 성명6&#10;계약 : 2019-01-07~2019-03-22&#10;진행 : 2019-01-07~2019-03-22&#10;실투입일수 : 32.3&#10;기간대비 투입율 : 100&#10;실투입기준 투입율 : 73.41&#10;"/>
        </xdr:cNvPr>
        <xdr:cNvSpPr/>
      </xdr:nvSpPr>
      <xdr:spPr>
        <a:xfrm>
          <a:off x="15102898" y="5198745"/>
          <a:ext cx="1537982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84</xdr:col>
      <xdr:colOff>142586</xdr:colOff>
      <xdr:row>28</xdr:row>
      <xdr:rowOff>31432</xdr:rowOff>
    </xdr:from>
    <xdr:to>
      <xdr:col>90</xdr:col>
      <xdr:colOff>95953</xdr:colOff>
      <xdr:row>28</xdr:row>
      <xdr:rowOff>178117</xdr:rowOff>
    </xdr:to>
    <xdr:sp macro="" textlink="">
      <xdr:nvSpPr>
        <xdr:cNvPr id="267" name="직사각형 266">
          <a:hlinkClick xmlns:r="http://schemas.openxmlformats.org/officeDocument/2006/relationships" r:id="" tooltip="프로젝트명 : BNK지주 내부등급법 도입&#10;성명 : 전체&#10;계약 : 2019-02-11~2019-03-22&#10;진행 : 2019-02-11~2019-03-22&#10;투입인원 : 1&#10;기간대비 투입율 : 100&#10;실투입기준 투입율 : 81.11&#10;"/>
        </xdr:cNvPr>
        <xdr:cNvSpPr/>
      </xdr:nvSpPr>
      <xdr:spPr>
        <a:xfrm>
          <a:off x="15830261" y="5355907"/>
          <a:ext cx="81061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84</xdr:col>
      <xdr:colOff>142586</xdr:colOff>
      <xdr:row>28</xdr:row>
      <xdr:rowOff>83820</xdr:rowOff>
    </xdr:from>
    <xdr:to>
      <xdr:col>90</xdr:col>
      <xdr:colOff>95953</xdr:colOff>
      <xdr:row>28</xdr:row>
      <xdr:rowOff>125729</xdr:rowOff>
    </xdr:to>
    <xdr:sp macro="" textlink="">
      <xdr:nvSpPr>
        <xdr:cNvPr id="268" name="직사각형 267">
          <a:hlinkClick xmlns:r="http://schemas.openxmlformats.org/officeDocument/2006/relationships" r:id="" tooltip="프로젝트명 : BNK지주 내부등급법 도입&#10;성명 : 전체&#10;계약 : 2019-02-11~2019-03-22&#10;진행 : 2019-02-11~2019-03-22&#10;투입인원 : 1&#10;기간대비 투입율 : 100&#10;실투입기준 투입율 : 81.11&#10;"/>
        </xdr:cNvPr>
        <xdr:cNvSpPr/>
      </xdr:nvSpPr>
      <xdr:spPr>
        <a:xfrm>
          <a:off x="15830261" y="5408295"/>
          <a:ext cx="810617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29</xdr:row>
      <xdr:rowOff>31432</xdr:rowOff>
    </xdr:from>
    <xdr:to>
      <xdr:col>89</xdr:col>
      <xdr:colOff>93357</xdr:colOff>
      <xdr:row>29</xdr:row>
      <xdr:rowOff>178117</xdr:rowOff>
    </xdr:to>
    <xdr:sp macro="" textlink="">
      <xdr:nvSpPr>
        <xdr:cNvPr id="269" name="직사각형 268">
          <a:hlinkClick xmlns:r="http://schemas.openxmlformats.org/officeDocument/2006/relationships" r:id="" tooltip="프로젝트명 : BNK지주 내부등급법 도입&#10;성명 : 성명5&#10;계약 : 2019-01-07~2019-03-15&#10;진행 : 2019-01-07~2019-03-15&#10;실투입일수 : 50&#10;기간대비 투입율 : 100&#10;실투입기준 투입율 : 100&#10;"/>
        </xdr:cNvPr>
        <xdr:cNvSpPr/>
      </xdr:nvSpPr>
      <xdr:spPr>
        <a:xfrm>
          <a:off x="15102898" y="5565457"/>
          <a:ext cx="13925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29</xdr:row>
      <xdr:rowOff>83820</xdr:rowOff>
    </xdr:from>
    <xdr:to>
      <xdr:col>89</xdr:col>
      <xdr:colOff>93357</xdr:colOff>
      <xdr:row>29</xdr:row>
      <xdr:rowOff>125729</xdr:rowOff>
    </xdr:to>
    <xdr:sp macro="" textlink="">
      <xdr:nvSpPr>
        <xdr:cNvPr id="270" name="직사각형 269">
          <a:hlinkClick xmlns:r="http://schemas.openxmlformats.org/officeDocument/2006/relationships" r:id="" tooltip="프로젝트명 : BNK지주 내부등급법 도입&#10;성명 : 성명5&#10;계약 : 2019-01-07~2019-03-15&#10;진행 : 2019-01-07~2019-03-15&#10;실투입일수 : 50&#10;기간대비 투입율 : 100&#10;실투입기준 투입율 : 100&#10;"/>
        </xdr:cNvPr>
        <xdr:cNvSpPr/>
      </xdr:nvSpPr>
      <xdr:spPr>
        <a:xfrm>
          <a:off x="15102898" y="5617845"/>
          <a:ext cx="1392509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39</xdr:col>
      <xdr:colOff>4906</xdr:colOff>
      <xdr:row>30</xdr:row>
      <xdr:rowOff>31432</xdr:rowOff>
    </xdr:from>
    <xdr:to>
      <xdr:col>74</xdr:col>
      <xdr:colOff>54390</xdr:colOff>
      <xdr:row>30</xdr:row>
      <xdr:rowOff>178117</xdr:rowOff>
    </xdr:to>
    <xdr:sp macro="" textlink="">
      <xdr:nvSpPr>
        <xdr:cNvPr id="271" name="직사각형 270">
          <a:hlinkClick xmlns:r="http://schemas.openxmlformats.org/officeDocument/2006/relationships" r:id="" tooltip="프로젝트명 : JB금융지주 그룹 신용리스크 내부등급법 시스템 구축&#10;성명 : 전체&#10;계약 : 2018-04-01~2018-11-30&#10;진행 : 2018-05-08~2019-02-22&#10;투입인원 : 1&#10;기간대비 투입율 : 119.43&#10;실투입기준 투입율 : 119.43&#10;"/>
        </xdr:cNvPr>
        <xdr:cNvSpPr/>
      </xdr:nvSpPr>
      <xdr:spPr>
        <a:xfrm>
          <a:off x="9263206" y="5775007"/>
          <a:ext cx="50501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44</xdr:col>
      <xdr:colOff>59459</xdr:colOff>
      <xdr:row>30</xdr:row>
      <xdr:rowOff>83820</xdr:rowOff>
    </xdr:from>
    <xdr:to>
      <xdr:col>86</xdr:col>
      <xdr:colOff>85563</xdr:colOff>
      <xdr:row>30</xdr:row>
      <xdr:rowOff>125729</xdr:rowOff>
    </xdr:to>
    <xdr:sp macro="" textlink="">
      <xdr:nvSpPr>
        <xdr:cNvPr id="272" name="직사각형 271">
          <a:hlinkClick xmlns:r="http://schemas.openxmlformats.org/officeDocument/2006/relationships" r:id="" tooltip="프로젝트명 : JB금융지주 그룹 신용리스크 내부등급법 시스템 구축&#10;성명 : 전체&#10;계약 : 2018-04-01~2018-11-30&#10;진행 : 2018-05-08~2019-02-22&#10;투입인원 : 1&#10;기간대비 투입율 : 119.43&#10;실투입기준 투입율 : 119.43&#10;"/>
        </xdr:cNvPr>
        <xdr:cNvSpPr/>
      </xdr:nvSpPr>
      <xdr:spPr>
        <a:xfrm>
          <a:off x="10032134" y="5827395"/>
          <a:ext cx="6026854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39</xdr:col>
      <xdr:colOff>4906</xdr:colOff>
      <xdr:row>31</xdr:row>
      <xdr:rowOff>31432</xdr:rowOff>
    </xdr:from>
    <xdr:to>
      <xdr:col>74</xdr:col>
      <xdr:colOff>54390</xdr:colOff>
      <xdr:row>31</xdr:row>
      <xdr:rowOff>178117</xdr:rowOff>
    </xdr:to>
    <xdr:sp macro="" textlink="">
      <xdr:nvSpPr>
        <xdr:cNvPr id="273" name="직사각형 272">
          <a:hlinkClick xmlns:r="http://schemas.openxmlformats.org/officeDocument/2006/relationships" r:id="" tooltip="프로젝트명 : JB금융지주 그룹 신용리스크 내부등급법 시스템 구축&#10;성명 : 성명8&#10;계약 : 2018-04-01~2018-11-30&#10;진행 : 2018-05-08~2019-02-22&#10;실투입일수 : 209&#10;기간대비 투입율 : 119.43&#10;실투입기준 투입율 : 119.43&#10;"/>
        </xdr:cNvPr>
        <xdr:cNvSpPr/>
      </xdr:nvSpPr>
      <xdr:spPr>
        <a:xfrm>
          <a:off x="9263206" y="5984557"/>
          <a:ext cx="50501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44</xdr:col>
      <xdr:colOff>59459</xdr:colOff>
      <xdr:row>31</xdr:row>
      <xdr:rowOff>83820</xdr:rowOff>
    </xdr:from>
    <xdr:to>
      <xdr:col>86</xdr:col>
      <xdr:colOff>85563</xdr:colOff>
      <xdr:row>31</xdr:row>
      <xdr:rowOff>125729</xdr:rowOff>
    </xdr:to>
    <xdr:sp macro="" textlink="">
      <xdr:nvSpPr>
        <xdr:cNvPr id="274" name="직사각형 273">
          <a:hlinkClick xmlns:r="http://schemas.openxmlformats.org/officeDocument/2006/relationships" r:id="" tooltip="프로젝트명 : JB금융지주 그룹 신용리스크 내부등급법 시스템 구축&#10;성명 : 성명8&#10;계약 : 2018-04-01~2018-11-30&#10;진행 : 2018-05-08~2019-02-22&#10;실투입일수 : 209&#10;기간대비 투입율 : 119.43&#10;실투입기준 투입율 : 119.43&#10;"/>
        </xdr:cNvPr>
        <xdr:cNvSpPr/>
      </xdr:nvSpPr>
      <xdr:spPr>
        <a:xfrm>
          <a:off x="10032134" y="6036945"/>
          <a:ext cx="6026854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69</xdr:col>
      <xdr:colOff>20493</xdr:colOff>
      <xdr:row>32</xdr:row>
      <xdr:rowOff>31432</xdr:rowOff>
    </xdr:from>
    <xdr:to>
      <xdr:col>77</xdr:col>
      <xdr:colOff>62183</xdr:colOff>
      <xdr:row>32</xdr:row>
      <xdr:rowOff>178117</xdr:rowOff>
    </xdr:to>
    <xdr:sp macro="" textlink="">
      <xdr:nvSpPr>
        <xdr:cNvPr id="275" name="직사각형 274">
          <a:hlinkClick xmlns:r="http://schemas.openxmlformats.org/officeDocument/2006/relationships" r:id="" tooltip="프로젝트명 : 하나은행 기업신용평가 프로세스 개선&#10;성명 : 성명6&#10;계약 : 2018-10-25~2018-12-21&#10;진행 : 2018-10-25~2019-01-04&#10;실투입일수 : 52&#10;기간대비 투입율 : 123.81&#10;실투입기준 투입율 : 123.81&#10;"/>
        </xdr:cNvPr>
        <xdr:cNvSpPr/>
      </xdr:nvSpPr>
      <xdr:spPr>
        <a:xfrm>
          <a:off x="13565043" y="6194107"/>
          <a:ext cx="118469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69</xdr:col>
      <xdr:colOff>20493</xdr:colOff>
      <xdr:row>32</xdr:row>
      <xdr:rowOff>83820</xdr:rowOff>
    </xdr:from>
    <xdr:to>
      <xdr:col>79</xdr:col>
      <xdr:colOff>67378</xdr:colOff>
      <xdr:row>32</xdr:row>
      <xdr:rowOff>125729</xdr:rowOff>
    </xdr:to>
    <xdr:sp macro="" textlink="">
      <xdr:nvSpPr>
        <xdr:cNvPr id="276" name="직사각형 275">
          <a:hlinkClick xmlns:r="http://schemas.openxmlformats.org/officeDocument/2006/relationships" r:id="" tooltip="프로젝트명 : 하나은행 기업신용평가 프로세스 개선&#10;성명 : 성명6&#10;계약 : 2018-10-25~2018-12-21&#10;진행 : 2018-10-25~2019-01-04&#10;실투입일수 : 52&#10;기간대비 투입율 : 123.81&#10;실투입기준 투입율 : 123.81&#10;"/>
        </xdr:cNvPr>
        <xdr:cNvSpPr/>
      </xdr:nvSpPr>
      <xdr:spPr>
        <a:xfrm>
          <a:off x="13565043" y="6246495"/>
          <a:ext cx="1475635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69</xdr:col>
      <xdr:colOff>20493</xdr:colOff>
      <xdr:row>33</xdr:row>
      <xdr:rowOff>31432</xdr:rowOff>
    </xdr:from>
    <xdr:to>
      <xdr:col>77</xdr:col>
      <xdr:colOff>62183</xdr:colOff>
      <xdr:row>33</xdr:row>
      <xdr:rowOff>178117</xdr:rowOff>
    </xdr:to>
    <xdr:sp macro="" textlink="">
      <xdr:nvSpPr>
        <xdr:cNvPr id="277" name="직사각형 276">
          <a:hlinkClick xmlns:r="http://schemas.openxmlformats.org/officeDocument/2006/relationships" r:id="" tooltip="프로젝트명 : 하나은행 기업신용평가 프로세스 개선&#10;성명 : 성명4&#10;계약 : 2018-10-25~2018-12-21&#10;진행 : 2018-10-25~2019-01-04&#10;실투입일수 : 52&#10;기간대비 투입율 : 123.81&#10;실투입기준 투입율 : 123.81&#10;"/>
        </xdr:cNvPr>
        <xdr:cNvSpPr/>
      </xdr:nvSpPr>
      <xdr:spPr>
        <a:xfrm>
          <a:off x="13565043" y="6403657"/>
          <a:ext cx="118469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69</xdr:col>
      <xdr:colOff>20493</xdr:colOff>
      <xdr:row>33</xdr:row>
      <xdr:rowOff>83820</xdr:rowOff>
    </xdr:from>
    <xdr:to>
      <xdr:col>79</xdr:col>
      <xdr:colOff>67378</xdr:colOff>
      <xdr:row>33</xdr:row>
      <xdr:rowOff>125729</xdr:rowOff>
    </xdr:to>
    <xdr:sp macro="" textlink="">
      <xdr:nvSpPr>
        <xdr:cNvPr id="278" name="직사각형 277">
          <a:hlinkClick xmlns:r="http://schemas.openxmlformats.org/officeDocument/2006/relationships" r:id="" tooltip="프로젝트명 : 하나은행 기업신용평가 프로세스 개선&#10;성명 : 성명4&#10;계약 : 2018-10-25~2018-12-21&#10;진행 : 2018-10-25~2019-01-04&#10;실투입일수 : 52&#10;기간대비 투입율 : 123.81&#10;실투입기준 투입율 : 123.81&#10;"/>
        </xdr:cNvPr>
        <xdr:cNvSpPr/>
      </xdr:nvSpPr>
      <xdr:spPr>
        <a:xfrm>
          <a:off x="13565043" y="6456045"/>
          <a:ext cx="1475635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10101</xdr:colOff>
      <xdr:row>34</xdr:row>
      <xdr:rowOff>31432</xdr:rowOff>
    </xdr:from>
    <xdr:to>
      <xdr:col>137</xdr:col>
      <xdr:colOff>134918</xdr:colOff>
      <xdr:row>34</xdr:row>
      <xdr:rowOff>178117</xdr:rowOff>
    </xdr:to>
    <xdr:sp macro="" textlink="">
      <xdr:nvSpPr>
        <xdr:cNvPr id="279" name="직사각형 278">
          <a:hlinkClick xmlns:r="http://schemas.openxmlformats.org/officeDocument/2006/relationships" r:id="" tooltip="프로젝트명 : 국민은행 Rule기반 기업여신 자동심사승인 모형&#10;성명 : 성명9&#10;계약 : 2019-03-11~2020-02-10&#10;진행 : 2019-03-12~2020-02-10&#10;실투입일수 : 182.5&#10;기간대비 투입율 : 99.59&#10;실투입기준 투입율 : 75.73&#10;"/>
        </xdr:cNvPr>
        <xdr:cNvSpPr/>
      </xdr:nvSpPr>
      <xdr:spPr>
        <a:xfrm>
          <a:off x="16412151" y="6613207"/>
          <a:ext cx="698281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30883</xdr:colOff>
      <xdr:row>34</xdr:row>
      <xdr:rowOff>83819</xdr:rowOff>
    </xdr:from>
    <xdr:to>
      <xdr:col>137</xdr:col>
      <xdr:colOff>134918</xdr:colOff>
      <xdr:row>34</xdr:row>
      <xdr:rowOff>125729</xdr:rowOff>
    </xdr:to>
    <xdr:sp macro="" textlink="">
      <xdr:nvSpPr>
        <xdr:cNvPr id="280" name="직사각형 279">
          <a:hlinkClick xmlns:r="http://schemas.openxmlformats.org/officeDocument/2006/relationships" r:id="" tooltip="프로젝트명 : 국민은행 Rule기반 기업여신 자동심사승인 모형&#10;성명 : 성명9&#10;계약 : 2019-03-11~2020-02-10&#10;진행 : 2019-03-12~2020-02-10&#10;실투입일수 : 182.5&#10;기간대비 투입율 : 99.59&#10;실투입기준 투입율 : 75.73&#10;"/>
        </xdr:cNvPr>
        <xdr:cNvSpPr/>
      </xdr:nvSpPr>
      <xdr:spPr>
        <a:xfrm>
          <a:off x="16432933" y="6665594"/>
          <a:ext cx="6962035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10101</xdr:colOff>
      <xdr:row>35</xdr:row>
      <xdr:rowOff>31432</xdr:rowOff>
    </xdr:from>
    <xdr:to>
      <xdr:col>137</xdr:col>
      <xdr:colOff>134918</xdr:colOff>
      <xdr:row>35</xdr:row>
      <xdr:rowOff>178117</xdr:rowOff>
    </xdr:to>
    <xdr:sp macro="" textlink="">
      <xdr:nvSpPr>
        <xdr:cNvPr id="281" name="직사각형 280">
          <a:hlinkClick xmlns:r="http://schemas.openxmlformats.org/officeDocument/2006/relationships" r:id="" tooltip="프로젝트명 : 국민은행 Rule기반 기업여신 자동심사승인 모형&#10;성명 : 성명5&#10;계약 : 2019-03-11~2020-02-10&#10;진행 : 2019-03-12~2020-02-10&#10;실투입일수 : 240&#10;기간대비 투입율 : 99.59&#10;실투입기준 투입율 : 99.59&#10;"/>
        </xdr:cNvPr>
        <xdr:cNvSpPr/>
      </xdr:nvSpPr>
      <xdr:spPr>
        <a:xfrm>
          <a:off x="16412151" y="6822757"/>
          <a:ext cx="698281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30883</xdr:colOff>
      <xdr:row>35</xdr:row>
      <xdr:rowOff>83819</xdr:rowOff>
    </xdr:from>
    <xdr:to>
      <xdr:col>137</xdr:col>
      <xdr:colOff>134918</xdr:colOff>
      <xdr:row>35</xdr:row>
      <xdr:rowOff>125729</xdr:rowOff>
    </xdr:to>
    <xdr:sp macro="" textlink="">
      <xdr:nvSpPr>
        <xdr:cNvPr id="282" name="직사각형 281">
          <a:hlinkClick xmlns:r="http://schemas.openxmlformats.org/officeDocument/2006/relationships" r:id="" tooltip="프로젝트명 : 국민은행 Rule기반 기업여신 자동심사승인 모형&#10;성명 : 성명5&#10;계약 : 2019-03-11~2020-02-10&#10;진행 : 2019-03-12~2020-02-10&#10;실투입일수 : 240&#10;기간대비 투입율 : 99.59&#10;실투입기준 투입율 : 99.59&#10;"/>
        </xdr:cNvPr>
        <xdr:cNvSpPr/>
      </xdr:nvSpPr>
      <xdr:spPr>
        <a:xfrm>
          <a:off x="16432933" y="6875144"/>
          <a:ext cx="6962035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91</xdr:col>
      <xdr:colOff>15298</xdr:colOff>
      <xdr:row>36</xdr:row>
      <xdr:rowOff>31432</xdr:rowOff>
    </xdr:from>
    <xdr:to>
      <xdr:col>128</xdr:col>
      <xdr:colOff>132323</xdr:colOff>
      <xdr:row>36</xdr:row>
      <xdr:rowOff>178117</xdr:rowOff>
    </xdr:to>
    <xdr:sp macro="" textlink="">
      <xdr:nvSpPr>
        <xdr:cNvPr id="283" name="직사각형 282">
          <a:hlinkClick xmlns:r="http://schemas.openxmlformats.org/officeDocument/2006/relationships" r:id="" tooltip="프로젝트명 : 국민은행 Rule기반 기업여신 자동심사승인 모형&#10;성명 : 성명10&#10;계약 : 2019-03-25~2019-12-10&#10;진행 : 2019-03-12~2019-12-10&#10;실투입일수 : 196&#10;기간대비 투입율 : 104.81&#10;실투입기준 투입율 : 104.81&#10;"/>
        </xdr:cNvPr>
        <xdr:cNvSpPr/>
      </xdr:nvSpPr>
      <xdr:spPr>
        <a:xfrm>
          <a:off x="16703098" y="7032307"/>
          <a:ext cx="540340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30883</xdr:colOff>
      <xdr:row>36</xdr:row>
      <xdr:rowOff>83819</xdr:rowOff>
    </xdr:from>
    <xdr:to>
      <xdr:col>128</xdr:col>
      <xdr:colOff>132322</xdr:colOff>
      <xdr:row>36</xdr:row>
      <xdr:rowOff>125729</xdr:rowOff>
    </xdr:to>
    <xdr:sp macro="" textlink="">
      <xdr:nvSpPr>
        <xdr:cNvPr id="284" name="직사각형 283">
          <a:hlinkClick xmlns:r="http://schemas.openxmlformats.org/officeDocument/2006/relationships" r:id="" tooltip="프로젝트명 : 국민은행 Rule기반 기업여신 자동심사승인 모형&#10;성명 : 성명10&#10;계약 : 2019-03-25~2019-12-10&#10;진행 : 2019-03-12~2019-12-10&#10;실투입일수 : 196&#10;기간대비 투입율 : 104.81&#10;실투입기준 투입율 : 104.81&#10;"/>
        </xdr:cNvPr>
        <xdr:cNvSpPr/>
      </xdr:nvSpPr>
      <xdr:spPr>
        <a:xfrm>
          <a:off x="16432933" y="7084694"/>
          <a:ext cx="5673564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91</xdr:col>
      <xdr:colOff>15298</xdr:colOff>
      <xdr:row>37</xdr:row>
      <xdr:rowOff>31432</xdr:rowOff>
    </xdr:from>
    <xdr:to>
      <xdr:col>137</xdr:col>
      <xdr:colOff>134920</xdr:colOff>
      <xdr:row>37</xdr:row>
      <xdr:rowOff>178117</xdr:rowOff>
    </xdr:to>
    <xdr:sp macro="" textlink="">
      <xdr:nvSpPr>
        <xdr:cNvPr id="285" name="직사각형 284">
          <a:hlinkClick xmlns:r="http://schemas.openxmlformats.org/officeDocument/2006/relationships" r:id="" tooltip="프로젝트명 : 국민은행 Rule기반 기업여신 자동심사승인 모형&#10;성명 : 전체&#10;계약 : 2019-03-25~2020-02-10&#10;진행 : 2019-04-01~2020-02-10&#10;투입인원 : 1&#10;기간대비 투입율 : 97.84&#10;실투입기준 투입율 : 97.84&#10;"/>
        </xdr:cNvPr>
        <xdr:cNvSpPr/>
      </xdr:nvSpPr>
      <xdr:spPr>
        <a:xfrm>
          <a:off x="16703098" y="7241857"/>
          <a:ext cx="669187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92</xdr:col>
      <xdr:colOff>17895</xdr:colOff>
      <xdr:row>37</xdr:row>
      <xdr:rowOff>83819</xdr:rowOff>
    </xdr:from>
    <xdr:to>
      <xdr:col>137</xdr:col>
      <xdr:colOff>134918</xdr:colOff>
      <xdr:row>37</xdr:row>
      <xdr:rowOff>125729</xdr:rowOff>
    </xdr:to>
    <xdr:sp macro="" textlink="">
      <xdr:nvSpPr>
        <xdr:cNvPr id="286" name="직사각형 285">
          <a:hlinkClick xmlns:r="http://schemas.openxmlformats.org/officeDocument/2006/relationships" r:id="" tooltip="프로젝트명 : 국민은행 Rule기반 기업여신 자동심사승인 모형&#10;성명 : 전체&#10;계약 : 2019-03-25~2020-02-10&#10;진행 : 2019-04-01~2020-02-10&#10;투입인원 : 1&#10;기간대비 투입율 : 97.84&#10;실투입기준 투입율 : 97.84&#10;"/>
        </xdr:cNvPr>
        <xdr:cNvSpPr/>
      </xdr:nvSpPr>
      <xdr:spPr>
        <a:xfrm>
          <a:off x="16848570" y="7294244"/>
          <a:ext cx="6546398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10101</xdr:colOff>
      <xdr:row>38</xdr:row>
      <xdr:rowOff>31432</xdr:rowOff>
    </xdr:from>
    <xdr:to>
      <xdr:col>133</xdr:col>
      <xdr:colOff>62183</xdr:colOff>
      <xdr:row>38</xdr:row>
      <xdr:rowOff>178117</xdr:rowOff>
    </xdr:to>
    <xdr:sp macro="" textlink="">
      <xdr:nvSpPr>
        <xdr:cNvPr id="287" name="직사각형 286">
          <a:hlinkClick xmlns:r="http://schemas.openxmlformats.org/officeDocument/2006/relationships" r:id="" tooltip="프로젝트명 : 국민은행 Rule기반 기업여신 자동심사승인 모형&#10;성명 : 성명3&#10;계약 : 2019-03-11~2020-01-10&#10;진행 : 2019-03-12~2020-01-10&#10;실투입일수 : 219&#10;기간대비 투입율 : 99.55&#10;실투입기준 투입율 : 99.55&#10;"/>
        </xdr:cNvPr>
        <xdr:cNvSpPr/>
      </xdr:nvSpPr>
      <xdr:spPr>
        <a:xfrm>
          <a:off x="16412151" y="7451407"/>
          <a:ext cx="633858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30883</xdr:colOff>
      <xdr:row>38</xdr:row>
      <xdr:rowOff>83819</xdr:rowOff>
    </xdr:from>
    <xdr:to>
      <xdr:col>133</xdr:col>
      <xdr:colOff>62182</xdr:colOff>
      <xdr:row>38</xdr:row>
      <xdr:rowOff>125729</xdr:rowOff>
    </xdr:to>
    <xdr:sp macro="" textlink="">
      <xdr:nvSpPr>
        <xdr:cNvPr id="288" name="직사각형 287">
          <a:hlinkClick xmlns:r="http://schemas.openxmlformats.org/officeDocument/2006/relationships" r:id="" tooltip="프로젝트명 : 국민은행 Rule기반 기업여신 자동심사승인 모형&#10;성명 : 성명3&#10;계약 : 2019-03-11~2020-01-10&#10;진행 : 2019-03-12~2020-01-10&#10;실투입일수 : 219&#10;기간대비 투입율 : 99.55&#10;실투입기준 투입율 : 99.55&#10;"/>
        </xdr:cNvPr>
        <xdr:cNvSpPr/>
      </xdr:nvSpPr>
      <xdr:spPr>
        <a:xfrm>
          <a:off x="16432933" y="7503794"/>
          <a:ext cx="6317799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10101</xdr:colOff>
      <xdr:row>39</xdr:row>
      <xdr:rowOff>31432</xdr:rowOff>
    </xdr:from>
    <xdr:to>
      <xdr:col>97</xdr:col>
      <xdr:colOff>114137</xdr:colOff>
      <xdr:row>39</xdr:row>
      <xdr:rowOff>178117</xdr:rowOff>
    </xdr:to>
    <xdr:sp macro="" textlink="">
      <xdr:nvSpPr>
        <xdr:cNvPr id="289" name="직사각형 288">
          <a:hlinkClick xmlns:r="http://schemas.openxmlformats.org/officeDocument/2006/relationships" r:id="" tooltip="프로젝트명 : 국민은행 Rule기반 기업여신 자동심사승인 모형&#10;성명 : 성명2&#10;계약 : 2019-03-11~2019-05-10&#10;진행 : 2019-03-12~2019-05-10&#10;실투입일수 : 44&#10;기간대비 투입율 : 97.78&#10;실투입기준 투입율 : 97.78&#10;"/>
        </xdr:cNvPr>
        <xdr:cNvSpPr/>
      </xdr:nvSpPr>
      <xdr:spPr>
        <a:xfrm>
          <a:off x="16412151" y="7660957"/>
          <a:ext cx="1247036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30883</xdr:colOff>
      <xdr:row>39</xdr:row>
      <xdr:rowOff>83819</xdr:rowOff>
    </xdr:from>
    <xdr:to>
      <xdr:col>97</xdr:col>
      <xdr:colOff>114137</xdr:colOff>
      <xdr:row>39</xdr:row>
      <xdr:rowOff>125729</xdr:rowOff>
    </xdr:to>
    <xdr:sp macro="" textlink="">
      <xdr:nvSpPr>
        <xdr:cNvPr id="290" name="직사각형 289">
          <a:hlinkClick xmlns:r="http://schemas.openxmlformats.org/officeDocument/2006/relationships" r:id="" tooltip="프로젝트명 : 국민은행 Rule기반 기업여신 자동심사승인 모형&#10;성명 : 성명2&#10;계약 : 2019-03-11~2019-05-10&#10;진행 : 2019-03-12~2019-05-10&#10;실투입일수 : 44&#10;기간대비 투입율 : 97.78&#10;실투입기준 투입율 : 97.78&#10;"/>
        </xdr:cNvPr>
        <xdr:cNvSpPr/>
      </xdr:nvSpPr>
      <xdr:spPr>
        <a:xfrm>
          <a:off x="16432933" y="7713344"/>
          <a:ext cx="1226254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10101</xdr:colOff>
      <xdr:row>40</xdr:row>
      <xdr:rowOff>31432</xdr:rowOff>
    </xdr:from>
    <xdr:to>
      <xdr:col>124</xdr:col>
      <xdr:colOff>80367</xdr:colOff>
      <xdr:row>40</xdr:row>
      <xdr:rowOff>178117</xdr:rowOff>
    </xdr:to>
    <xdr:sp macro="" textlink="">
      <xdr:nvSpPr>
        <xdr:cNvPr id="291" name="직사각형 290">
          <a:hlinkClick xmlns:r="http://schemas.openxmlformats.org/officeDocument/2006/relationships" r:id="" tooltip="프로젝트명 : 국민은행 Rule기반 기업여신 자동심사승인 모형&#10;성명 : 전체&#10;계약 : 2019-03-11~2019-11-10&#10;진행 : 2019-03-18~2019-11-08&#10;투입인원 : 1&#10;기간대비 투입율 : 97.14&#10;실투입기준 투입율 : 97.14&#10;"/>
        </xdr:cNvPr>
        <xdr:cNvSpPr/>
      </xdr:nvSpPr>
      <xdr:spPr>
        <a:xfrm>
          <a:off x="16412151" y="7870507"/>
          <a:ext cx="5070891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90</xdr:col>
      <xdr:colOff>12700</xdr:colOff>
      <xdr:row>40</xdr:row>
      <xdr:rowOff>83819</xdr:rowOff>
    </xdr:from>
    <xdr:to>
      <xdr:col>124</xdr:col>
      <xdr:colOff>38803</xdr:colOff>
      <xdr:row>40</xdr:row>
      <xdr:rowOff>125729</xdr:rowOff>
    </xdr:to>
    <xdr:sp macro="" textlink="">
      <xdr:nvSpPr>
        <xdr:cNvPr id="292" name="직사각형 291">
          <a:hlinkClick xmlns:r="http://schemas.openxmlformats.org/officeDocument/2006/relationships" r:id="" tooltip="프로젝트명 : 국민은행 Rule기반 기업여신 자동심사승인 모형&#10;성명 : 전체&#10;계약 : 2019-03-11~2019-11-10&#10;진행 : 2019-03-18~2019-11-08&#10;투입인원 : 1&#10;기간대비 투입율 : 97.14&#10;실투입기준 투입율 : 97.14&#10;"/>
        </xdr:cNvPr>
        <xdr:cNvSpPr/>
      </xdr:nvSpPr>
      <xdr:spPr>
        <a:xfrm>
          <a:off x="16557625" y="7922894"/>
          <a:ext cx="4883853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40</xdr:col>
      <xdr:colOff>28286</xdr:colOff>
      <xdr:row>41</xdr:row>
      <xdr:rowOff>31432</xdr:rowOff>
    </xdr:from>
    <xdr:to>
      <xdr:col>80</xdr:col>
      <xdr:colOff>7632</xdr:colOff>
      <xdr:row>41</xdr:row>
      <xdr:rowOff>178117</xdr:rowOff>
    </xdr:to>
    <xdr:sp macro="" textlink="">
      <xdr:nvSpPr>
        <xdr:cNvPr id="293" name="직사각형 292">
          <a:hlinkClick xmlns:r="http://schemas.openxmlformats.org/officeDocument/2006/relationships" r:id="" tooltip="프로젝트명 : 농협금융 일반기업 신용평가모형 개선 개발&#10;성명 : 성명1&#10;계약 : 2018-04-09~2019-01-08&#10;진행 : 2018-04-09~2019-02-22&#10;실투입일수 : 198.5&#10;기간대비 투입율 : 116.75&#10;실투입기준 투입율 : 100.76&#10;"/>
        </xdr:cNvPr>
        <xdr:cNvSpPr/>
      </xdr:nvSpPr>
      <xdr:spPr>
        <a:xfrm>
          <a:off x="9429461" y="8080057"/>
          <a:ext cx="5694346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40</xdr:col>
      <xdr:colOff>28286</xdr:colOff>
      <xdr:row>41</xdr:row>
      <xdr:rowOff>83819</xdr:rowOff>
    </xdr:from>
    <xdr:to>
      <xdr:col>86</xdr:col>
      <xdr:colOff>85563</xdr:colOff>
      <xdr:row>41</xdr:row>
      <xdr:rowOff>125729</xdr:rowOff>
    </xdr:to>
    <xdr:sp macro="" textlink="">
      <xdr:nvSpPr>
        <xdr:cNvPr id="294" name="직사각형 293">
          <a:hlinkClick xmlns:r="http://schemas.openxmlformats.org/officeDocument/2006/relationships" r:id="" tooltip="프로젝트명 : 농협금융 일반기업 신용평가모형 개선 개발&#10;성명 : 성명1&#10;계약 : 2018-04-09~2019-01-08&#10;진행 : 2018-04-09~2019-02-22&#10;실투입일수 : 198.5&#10;기간대비 투입율 : 116.75&#10;실투입기준 투입율 : 100.76&#10;"/>
        </xdr:cNvPr>
        <xdr:cNvSpPr/>
      </xdr:nvSpPr>
      <xdr:spPr>
        <a:xfrm>
          <a:off x="9429461" y="8132444"/>
          <a:ext cx="6629527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40</xdr:col>
      <xdr:colOff>28286</xdr:colOff>
      <xdr:row>42</xdr:row>
      <xdr:rowOff>31432</xdr:rowOff>
    </xdr:from>
    <xdr:to>
      <xdr:col>80</xdr:col>
      <xdr:colOff>7632</xdr:colOff>
      <xdr:row>42</xdr:row>
      <xdr:rowOff>178117</xdr:rowOff>
    </xdr:to>
    <xdr:sp macro="" textlink="">
      <xdr:nvSpPr>
        <xdr:cNvPr id="295" name="직사각형 294">
          <a:hlinkClick xmlns:r="http://schemas.openxmlformats.org/officeDocument/2006/relationships" r:id="" tooltip="프로젝트명 : 농협금융 일반기업 신용평가모형 개선 개발&#10;성명 : 성명5&#10;계약 : 2018-04-09~2019-01-08&#10;진행 : 2018-04-09~2019-02-22&#10;실투입일수 : 230&#10;기간대비 투입율 : 116.75&#10;실투입기준 투입율 : 116.75&#10;"/>
        </xdr:cNvPr>
        <xdr:cNvSpPr/>
      </xdr:nvSpPr>
      <xdr:spPr>
        <a:xfrm>
          <a:off x="9429461" y="8289607"/>
          <a:ext cx="5694346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40</xdr:col>
      <xdr:colOff>28286</xdr:colOff>
      <xdr:row>42</xdr:row>
      <xdr:rowOff>83819</xdr:rowOff>
    </xdr:from>
    <xdr:to>
      <xdr:col>86</xdr:col>
      <xdr:colOff>85563</xdr:colOff>
      <xdr:row>42</xdr:row>
      <xdr:rowOff>125729</xdr:rowOff>
    </xdr:to>
    <xdr:sp macro="" textlink="">
      <xdr:nvSpPr>
        <xdr:cNvPr id="296" name="직사각형 295">
          <a:hlinkClick xmlns:r="http://schemas.openxmlformats.org/officeDocument/2006/relationships" r:id="" tooltip="프로젝트명 : 농협금융 일반기업 신용평가모형 개선 개발&#10;성명 : 성명5&#10;계약 : 2018-04-09~2019-01-08&#10;진행 : 2018-04-09~2019-02-22&#10;실투입일수 : 230&#10;기간대비 투입율 : 116.75&#10;실투입기준 투입율 : 116.75&#10;"/>
        </xdr:cNvPr>
        <xdr:cNvSpPr/>
      </xdr:nvSpPr>
      <xdr:spPr>
        <a:xfrm>
          <a:off x="9429461" y="8341994"/>
          <a:ext cx="6629527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44</xdr:col>
      <xdr:colOff>80240</xdr:colOff>
      <xdr:row>43</xdr:row>
      <xdr:rowOff>31432</xdr:rowOff>
    </xdr:from>
    <xdr:to>
      <xdr:col>75</xdr:col>
      <xdr:colOff>77770</xdr:colOff>
      <xdr:row>43</xdr:row>
      <xdr:rowOff>178117</xdr:rowOff>
    </xdr:to>
    <xdr:sp macro="" textlink="">
      <xdr:nvSpPr>
        <xdr:cNvPr id="297" name="직사각형 296">
          <a:hlinkClick xmlns:r="http://schemas.openxmlformats.org/officeDocument/2006/relationships" r:id="" tooltip="프로젝트명 : 농협금융 일반기업 신용평가모형 개선 개발&#10;성명 : 성명2&#10;계약 : 2018-05-09~2018-12-08&#10;진행 : 2018-05-28~2019-01-15&#10;실투입일수 : 167&#10;기간대비 투입율 : 109.15&#10;실투입기준 투입율 : 109.15&#10;"/>
        </xdr:cNvPr>
        <xdr:cNvSpPr/>
      </xdr:nvSpPr>
      <xdr:spPr>
        <a:xfrm>
          <a:off x="10052915" y="8499157"/>
          <a:ext cx="442665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47</xdr:col>
      <xdr:colOff>46470</xdr:colOff>
      <xdr:row>43</xdr:row>
      <xdr:rowOff>83819</xdr:rowOff>
    </xdr:from>
    <xdr:to>
      <xdr:col>81</xdr:col>
      <xdr:colOff>10228</xdr:colOff>
      <xdr:row>43</xdr:row>
      <xdr:rowOff>125729</xdr:rowOff>
    </xdr:to>
    <xdr:sp macro="" textlink="">
      <xdr:nvSpPr>
        <xdr:cNvPr id="298" name="직사각형 297">
          <a:hlinkClick xmlns:r="http://schemas.openxmlformats.org/officeDocument/2006/relationships" r:id="" tooltip="프로젝트명 : 농협금융 일반기업 신용평가모형 개선 개발&#10;성명 : 성명2&#10;계약 : 2018-05-09~2018-12-08&#10;진행 : 2018-05-28~2019-01-15&#10;실투입일수 : 167&#10;기간대비 투입율 : 109.15&#10;실투입기준 투입율 : 109.15&#10;"/>
        </xdr:cNvPr>
        <xdr:cNvSpPr/>
      </xdr:nvSpPr>
      <xdr:spPr>
        <a:xfrm>
          <a:off x="10447770" y="8551544"/>
          <a:ext cx="4821508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44</xdr:row>
      <xdr:rowOff>31432</xdr:rowOff>
    </xdr:from>
    <xdr:to>
      <xdr:col>115</xdr:col>
      <xdr:colOff>15425</xdr:colOff>
      <xdr:row>44</xdr:row>
      <xdr:rowOff>178117</xdr:rowOff>
    </xdr:to>
    <xdr:sp macro="" textlink="">
      <xdr:nvSpPr>
        <xdr:cNvPr id="299" name="직사각형 298">
          <a:hlinkClick xmlns:r="http://schemas.openxmlformats.org/officeDocument/2006/relationships" r:id="" tooltip="프로젝트명 : 농협중앙회 신용평가모형 개선&#10;성명 : 성명5&#10;계약 : 2019-01-07~2019-09-06&#10;진행 : 2019-01-07~2019-09-27&#10;실투입일수 : 125&#10;기간대비 투입율 : 108.57&#10;실투입기준 투입율 : 71.43&#10;"/>
        </xdr:cNvPr>
        <xdr:cNvSpPr/>
      </xdr:nvSpPr>
      <xdr:spPr>
        <a:xfrm>
          <a:off x="15102898" y="8708707"/>
          <a:ext cx="502932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44</xdr:row>
      <xdr:rowOff>83819</xdr:rowOff>
    </xdr:from>
    <xdr:to>
      <xdr:col>118</xdr:col>
      <xdr:colOff>23218</xdr:colOff>
      <xdr:row>44</xdr:row>
      <xdr:rowOff>125729</xdr:rowOff>
    </xdr:to>
    <xdr:sp macro="" textlink="">
      <xdr:nvSpPr>
        <xdr:cNvPr id="300" name="직사각형 299">
          <a:hlinkClick xmlns:r="http://schemas.openxmlformats.org/officeDocument/2006/relationships" r:id="" tooltip="프로젝트명 : 농협중앙회 신용평가모형 개선&#10;성명 : 성명5&#10;계약 : 2019-01-07~2019-09-06&#10;진행 : 2019-01-07~2019-09-27&#10;실투입일수 : 125&#10;기간대비 투입율 : 108.57&#10;실투입기준 투입율 : 71.43&#10;"/>
        </xdr:cNvPr>
        <xdr:cNvSpPr/>
      </xdr:nvSpPr>
      <xdr:spPr>
        <a:xfrm>
          <a:off x="15102898" y="8761094"/>
          <a:ext cx="5465745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45</xdr:row>
      <xdr:rowOff>31432</xdr:rowOff>
    </xdr:from>
    <xdr:to>
      <xdr:col>115</xdr:col>
      <xdr:colOff>15425</xdr:colOff>
      <xdr:row>45</xdr:row>
      <xdr:rowOff>178117</xdr:rowOff>
    </xdr:to>
    <xdr:sp macro="" textlink="">
      <xdr:nvSpPr>
        <xdr:cNvPr id="301" name="직사각형 300">
          <a:hlinkClick xmlns:r="http://schemas.openxmlformats.org/officeDocument/2006/relationships" r:id="" tooltip="프로젝트명 : 농협중앙회 신용평가모형 개선&#10;성명 : 전체&#10;계약 : 2019-01-07~2019-09-06&#10;진행 : 2019-01-07~2019-09-27&#10;투입인원 : 1&#10;기간대비 투입율 : 108.57&#10;실투입기준 투입율 : 108.57&#10;"/>
        </xdr:cNvPr>
        <xdr:cNvSpPr/>
      </xdr:nvSpPr>
      <xdr:spPr>
        <a:xfrm>
          <a:off x="15102898" y="8918257"/>
          <a:ext cx="502932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45</xdr:row>
      <xdr:rowOff>83819</xdr:rowOff>
    </xdr:from>
    <xdr:to>
      <xdr:col>118</xdr:col>
      <xdr:colOff>23218</xdr:colOff>
      <xdr:row>45</xdr:row>
      <xdr:rowOff>125729</xdr:rowOff>
    </xdr:to>
    <xdr:sp macro="" textlink="">
      <xdr:nvSpPr>
        <xdr:cNvPr id="302" name="직사각형 301">
          <a:hlinkClick xmlns:r="http://schemas.openxmlformats.org/officeDocument/2006/relationships" r:id="" tooltip="프로젝트명 : 농협중앙회 신용평가모형 개선&#10;성명 : 전체&#10;계약 : 2019-01-07~2019-09-06&#10;진행 : 2019-01-07~2019-09-27&#10;투입인원 : 1&#10;기간대비 투입율 : 108.57&#10;실투입기준 투입율 : 108.57&#10;"/>
        </xdr:cNvPr>
        <xdr:cNvSpPr/>
      </xdr:nvSpPr>
      <xdr:spPr>
        <a:xfrm>
          <a:off x="15102898" y="8970644"/>
          <a:ext cx="5465745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46</xdr:row>
      <xdr:rowOff>31432</xdr:rowOff>
    </xdr:from>
    <xdr:to>
      <xdr:col>88</xdr:col>
      <xdr:colOff>90758</xdr:colOff>
      <xdr:row>46</xdr:row>
      <xdr:rowOff>178117</xdr:rowOff>
    </xdr:to>
    <xdr:sp macro="" textlink="">
      <xdr:nvSpPr>
        <xdr:cNvPr id="303" name="직사각형 302">
          <a:hlinkClick xmlns:r="http://schemas.openxmlformats.org/officeDocument/2006/relationships" r:id="" tooltip="프로젝트명 : 농협중앙회 신용평가모형 개선&#10;성명 : 성명6&#10;계약 : 2019-01-07~2019-03-08&#10;진행 : 2019-01-07~2019-03-08&#10;실투입일수 : 45&#10;기간대비 투입율 : 100&#10;실투입기준 투입율 : 100&#10;"/>
        </xdr:cNvPr>
        <xdr:cNvSpPr/>
      </xdr:nvSpPr>
      <xdr:spPr>
        <a:xfrm>
          <a:off x="15102898" y="9127807"/>
          <a:ext cx="124703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46</xdr:row>
      <xdr:rowOff>83819</xdr:rowOff>
    </xdr:from>
    <xdr:to>
      <xdr:col>88</xdr:col>
      <xdr:colOff>90758</xdr:colOff>
      <xdr:row>46</xdr:row>
      <xdr:rowOff>125729</xdr:rowOff>
    </xdr:to>
    <xdr:sp macro="" textlink="">
      <xdr:nvSpPr>
        <xdr:cNvPr id="304" name="직사각형 303">
          <a:hlinkClick xmlns:r="http://schemas.openxmlformats.org/officeDocument/2006/relationships" r:id="" tooltip="프로젝트명 : 농협중앙회 신용평가모형 개선&#10;성명 : 성명6&#10;계약 : 2019-01-07~2019-03-08&#10;진행 : 2019-01-07~2019-03-08&#10;실투입일수 : 45&#10;기간대비 투입율 : 100&#10;실투입기준 투입율 : 100&#10;"/>
        </xdr:cNvPr>
        <xdr:cNvSpPr/>
      </xdr:nvSpPr>
      <xdr:spPr>
        <a:xfrm>
          <a:off x="15102898" y="9180194"/>
          <a:ext cx="1247035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86</xdr:col>
      <xdr:colOff>2308</xdr:colOff>
      <xdr:row>47</xdr:row>
      <xdr:rowOff>31432</xdr:rowOff>
    </xdr:from>
    <xdr:to>
      <xdr:col>107</xdr:col>
      <xdr:colOff>140115</xdr:colOff>
      <xdr:row>47</xdr:row>
      <xdr:rowOff>178117</xdr:rowOff>
    </xdr:to>
    <xdr:sp macro="" textlink="">
      <xdr:nvSpPr>
        <xdr:cNvPr id="305" name="직사각형 304">
          <a:hlinkClick xmlns:r="http://schemas.openxmlformats.org/officeDocument/2006/relationships" r:id="" tooltip="프로젝트명 : 농협중앙회 신용평가모형 개선&#10;성명 : 성명7&#10;계약 : 2019-02-18~2019-07-19&#10;진행 : 2019-02-18~2019-09-27&#10;실투입일수 : 160&#10;기간대비 투입율 : 145.45&#10;실투입기준 투입율 : 145.45&#10;"/>
        </xdr:cNvPr>
        <xdr:cNvSpPr/>
      </xdr:nvSpPr>
      <xdr:spPr>
        <a:xfrm>
          <a:off x="15975733" y="9337357"/>
          <a:ext cx="313818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86</xdr:col>
      <xdr:colOff>2308</xdr:colOff>
      <xdr:row>47</xdr:row>
      <xdr:rowOff>83819</xdr:rowOff>
    </xdr:from>
    <xdr:to>
      <xdr:col>118</xdr:col>
      <xdr:colOff>23217</xdr:colOff>
      <xdr:row>47</xdr:row>
      <xdr:rowOff>125729</xdr:rowOff>
    </xdr:to>
    <xdr:sp macro="" textlink="">
      <xdr:nvSpPr>
        <xdr:cNvPr id="306" name="직사각형 305">
          <a:hlinkClick xmlns:r="http://schemas.openxmlformats.org/officeDocument/2006/relationships" r:id="" tooltip="프로젝트명 : 농협중앙회 신용평가모형 개선&#10;성명 : 성명7&#10;계약 : 2019-02-18~2019-07-19&#10;진행 : 2019-02-18~2019-09-27&#10;실투입일수 : 160&#10;기간대비 투입율 : 145.45&#10;실투입기준 투입율 : 145.45&#10;"/>
        </xdr:cNvPr>
        <xdr:cNvSpPr/>
      </xdr:nvSpPr>
      <xdr:spPr>
        <a:xfrm>
          <a:off x="15975733" y="9389744"/>
          <a:ext cx="4592909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48</xdr:row>
      <xdr:rowOff>31432</xdr:rowOff>
    </xdr:from>
    <xdr:to>
      <xdr:col>101</xdr:col>
      <xdr:colOff>103748</xdr:colOff>
      <xdr:row>48</xdr:row>
      <xdr:rowOff>178117</xdr:rowOff>
    </xdr:to>
    <xdr:sp macro="" textlink="">
      <xdr:nvSpPr>
        <xdr:cNvPr id="307" name="직사각형 306">
          <a:hlinkClick xmlns:r="http://schemas.openxmlformats.org/officeDocument/2006/relationships" r:id="" tooltip="프로젝트명 : 농협중앙회 신용평가모형 개선&#10;성명 : 성명8&#10;계약 : 2019-01-07~2019-06-06&#10;진행 : 2019-01-07~2019-05-31&#10;실투입일수 : 105&#10;기간대비 투입율 : 96.33&#10;실투입기준 투입율 : 96.33&#10;"/>
        </xdr:cNvPr>
        <xdr:cNvSpPr/>
      </xdr:nvSpPr>
      <xdr:spPr>
        <a:xfrm>
          <a:off x="15102898" y="9546907"/>
          <a:ext cx="311740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48</xdr:row>
      <xdr:rowOff>83819</xdr:rowOff>
    </xdr:from>
    <xdr:to>
      <xdr:col>100</xdr:col>
      <xdr:colOff>121932</xdr:colOff>
      <xdr:row>48</xdr:row>
      <xdr:rowOff>125729</xdr:rowOff>
    </xdr:to>
    <xdr:sp macro="" textlink="">
      <xdr:nvSpPr>
        <xdr:cNvPr id="308" name="직사각형 307">
          <a:hlinkClick xmlns:r="http://schemas.openxmlformats.org/officeDocument/2006/relationships" r:id="" tooltip="프로젝트명 : 농협중앙회 신용평가모형 개선&#10;성명 : 성명8&#10;계약 : 2019-01-07~2019-06-06&#10;진행 : 2019-01-07~2019-05-31&#10;실투입일수 : 105&#10;기간대비 투입율 : 96.33&#10;실투입기준 투입율 : 96.33&#10;"/>
        </xdr:cNvPr>
        <xdr:cNvSpPr/>
      </xdr:nvSpPr>
      <xdr:spPr>
        <a:xfrm>
          <a:off x="15102898" y="9599294"/>
          <a:ext cx="2992709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49</xdr:row>
      <xdr:rowOff>31432</xdr:rowOff>
    </xdr:from>
    <xdr:to>
      <xdr:col>105</xdr:col>
      <xdr:colOff>31012</xdr:colOff>
      <xdr:row>49</xdr:row>
      <xdr:rowOff>178117</xdr:rowOff>
    </xdr:to>
    <xdr:sp macro="" textlink="">
      <xdr:nvSpPr>
        <xdr:cNvPr id="309" name="직사각형 308">
          <a:hlinkClick xmlns:r="http://schemas.openxmlformats.org/officeDocument/2006/relationships" r:id="" tooltip="프로젝트명 : 우리은행 기업여신 자동심사 프로세스 신설&#10;성명 : 전체&#10;계약 : 2018-11-05~2019-06-30&#10;진행 : 2018-09-06~2019-06-28&#10;투입인원 : 3&#10;기간대비 투입율 : 124.71&#10;실투입기준 투입율 : 108.04&#10;"/>
        </xdr:cNvPr>
        <xdr:cNvSpPr/>
      </xdr:nvSpPr>
      <xdr:spPr>
        <a:xfrm>
          <a:off x="13793643" y="9756457"/>
          <a:ext cx="492541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62</xdr:col>
      <xdr:colOff>2309</xdr:colOff>
      <xdr:row>49</xdr:row>
      <xdr:rowOff>83819</xdr:rowOff>
    </xdr:from>
    <xdr:to>
      <xdr:col>104</xdr:col>
      <xdr:colOff>132322</xdr:colOff>
      <xdr:row>49</xdr:row>
      <xdr:rowOff>125729</xdr:rowOff>
    </xdr:to>
    <xdr:sp macro="" textlink="">
      <xdr:nvSpPr>
        <xdr:cNvPr id="310" name="직사각형 309">
          <a:hlinkClick xmlns:r="http://schemas.openxmlformats.org/officeDocument/2006/relationships" r:id="" tooltip="프로젝트명 : 우리은행 기업여신 자동심사 프로세스 신설&#10;성명 : 전체&#10;계약 : 2018-11-05~2019-06-30&#10;진행 : 2018-09-06~2019-06-28&#10;투입인원 : 3&#10;기간대비 투입율 : 124.71&#10;실투입기준 투입율 : 108.04&#10;"/>
        </xdr:cNvPr>
        <xdr:cNvSpPr/>
      </xdr:nvSpPr>
      <xdr:spPr>
        <a:xfrm>
          <a:off x="12546734" y="9808844"/>
          <a:ext cx="6130763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50</xdr:row>
      <xdr:rowOff>31432</xdr:rowOff>
    </xdr:from>
    <xdr:to>
      <xdr:col>105</xdr:col>
      <xdr:colOff>31012</xdr:colOff>
      <xdr:row>50</xdr:row>
      <xdr:rowOff>178117</xdr:rowOff>
    </xdr:to>
    <xdr:sp macro="" textlink="">
      <xdr:nvSpPr>
        <xdr:cNvPr id="311" name="직사각형 310">
          <a:hlinkClick xmlns:r="http://schemas.openxmlformats.org/officeDocument/2006/relationships" r:id="" tooltip="프로젝트명 : 우리은행 기업여신 자동심사 프로세스 신설&#10;성명 : 성명9&#10;계약 : 2018-11-05~2019-06-30&#10;진행 : 2018-11-01~2019-06-28&#10;실투입일수 : 172&#10;기간대비 투입율 : 101.18&#10;실투입기준 투입율 : 101.18&#10;"/>
        </xdr:cNvPr>
        <xdr:cNvSpPr/>
      </xdr:nvSpPr>
      <xdr:spPr>
        <a:xfrm>
          <a:off x="13793643" y="9966007"/>
          <a:ext cx="492541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23091</xdr:colOff>
      <xdr:row>50</xdr:row>
      <xdr:rowOff>83819</xdr:rowOff>
    </xdr:from>
    <xdr:to>
      <xdr:col>104</xdr:col>
      <xdr:colOff>132323</xdr:colOff>
      <xdr:row>50</xdr:row>
      <xdr:rowOff>125729</xdr:rowOff>
    </xdr:to>
    <xdr:sp macro="" textlink="">
      <xdr:nvSpPr>
        <xdr:cNvPr id="312" name="직사각형 311">
          <a:hlinkClick xmlns:r="http://schemas.openxmlformats.org/officeDocument/2006/relationships" r:id="" tooltip="프로젝트명 : 우리은행 기업여신 자동심사 프로세스 신설&#10;성명 : 성명9&#10;계약 : 2018-11-05~2019-06-30&#10;진행 : 2018-11-01~2019-06-28&#10;실투입일수 : 172&#10;기간대비 투입율 : 101.18&#10;실투입기준 투입율 : 101.18&#10;"/>
        </xdr:cNvPr>
        <xdr:cNvSpPr/>
      </xdr:nvSpPr>
      <xdr:spPr>
        <a:xfrm>
          <a:off x="13710516" y="10018394"/>
          <a:ext cx="496698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51</xdr:row>
      <xdr:rowOff>31432</xdr:rowOff>
    </xdr:from>
    <xdr:to>
      <xdr:col>105</xdr:col>
      <xdr:colOff>31012</xdr:colOff>
      <xdr:row>51</xdr:row>
      <xdr:rowOff>178117</xdr:rowOff>
    </xdr:to>
    <xdr:sp macro="" textlink="">
      <xdr:nvSpPr>
        <xdr:cNvPr id="313" name="직사각형 312">
          <a:hlinkClick xmlns:r="http://schemas.openxmlformats.org/officeDocument/2006/relationships" r:id="" tooltip="프로젝트명 : 우리은행 기업여신 자동심사 프로세스 신설&#10;성명 : 성명9&#10;계약 : 2018-11-05~2019-06-30&#10;진행 : 2018-09-06~2019-06-28&#10;실투입일수 : 212&#10;기간대비 투입율 : 124.71&#10;실투입기준 투입율 : 124.71&#10;"/>
        </xdr:cNvPr>
        <xdr:cNvSpPr/>
      </xdr:nvSpPr>
      <xdr:spPr>
        <a:xfrm>
          <a:off x="13793643" y="10175557"/>
          <a:ext cx="492541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62</xdr:col>
      <xdr:colOff>2309</xdr:colOff>
      <xdr:row>51</xdr:row>
      <xdr:rowOff>83819</xdr:rowOff>
    </xdr:from>
    <xdr:to>
      <xdr:col>104</xdr:col>
      <xdr:colOff>132322</xdr:colOff>
      <xdr:row>51</xdr:row>
      <xdr:rowOff>125729</xdr:rowOff>
    </xdr:to>
    <xdr:sp macro="" textlink="">
      <xdr:nvSpPr>
        <xdr:cNvPr id="314" name="직사각형 313">
          <a:hlinkClick xmlns:r="http://schemas.openxmlformats.org/officeDocument/2006/relationships" r:id="" tooltip="프로젝트명 : 우리은행 기업여신 자동심사 프로세스 신설&#10;성명 : 성명9&#10;계약 : 2018-11-05~2019-06-30&#10;진행 : 2018-09-06~2019-06-28&#10;실투입일수 : 212&#10;기간대비 투입율 : 124.71&#10;실투입기준 투입율 : 124.71&#10;"/>
        </xdr:cNvPr>
        <xdr:cNvSpPr/>
      </xdr:nvSpPr>
      <xdr:spPr>
        <a:xfrm>
          <a:off x="12546734" y="10227944"/>
          <a:ext cx="6130763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52</xdr:row>
      <xdr:rowOff>31432</xdr:rowOff>
    </xdr:from>
    <xdr:to>
      <xdr:col>105</xdr:col>
      <xdr:colOff>31012</xdr:colOff>
      <xdr:row>52</xdr:row>
      <xdr:rowOff>178117</xdr:rowOff>
    </xdr:to>
    <xdr:sp macro="" textlink="">
      <xdr:nvSpPr>
        <xdr:cNvPr id="315" name="직사각형 314">
          <a:hlinkClick xmlns:r="http://schemas.openxmlformats.org/officeDocument/2006/relationships" r:id="" tooltip="프로젝트명 : 우리은행 기업여신 자동심사 프로세스 신설&#10;성명 : 성명9&#10;계약 : 2018-11-05~2019-06-30&#10;진행 : 2018-11-08~2019-06-28&#10;실투입일수 : 167&#10;기간대비 투입율 : 98.24&#10;실투입기준 투입율 : 98.24&#10;"/>
        </xdr:cNvPr>
        <xdr:cNvSpPr/>
      </xdr:nvSpPr>
      <xdr:spPr>
        <a:xfrm>
          <a:off x="13793643" y="10385107"/>
          <a:ext cx="492541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71</xdr:col>
      <xdr:colOff>25688</xdr:colOff>
      <xdr:row>52</xdr:row>
      <xdr:rowOff>83819</xdr:rowOff>
    </xdr:from>
    <xdr:to>
      <xdr:col>104</xdr:col>
      <xdr:colOff>132322</xdr:colOff>
      <xdr:row>52</xdr:row>
      <xdr:rowOff>125729</xdr:rowOff>
    </xdr:to>
    <xdr:sp macro="" textlink="">
      <xdr:nvSpPr>
        <xdr:cNvPr id="316" name="직사각형 315">
          <a:hlinkClick xmlns:r="http://schemas.openxmlformats.org/officeDocument/2006/relationships" r:id="" tooltip="프로젝트명 : 우리은행 기업여신 자동심사 프로세스 신설&#10;성명 : 성명9&#10;계약 : 2018-11-05~2019-06-30&#10;진행 : 2018-11-08~2019-06-28&#10;실투입일수 : 167&#10;기간대비 투입율 : 98.24&#10;실투입기준 투입율 : 98.24&#10;"/>
        </xdr:cNvPr>
        <xdr:cNvSpPr/>
      </xdr:nvSpPr>
      <xdr:spPr>
        <a:xfrm>
          <a:off x="13855988" y="10437494"/>
          <a:ext cx="4821509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48</xdr:col>
      <xdr:colOff>49068</xdr:colOff>
      <xdr:row>53</xdr:row>
      <xdr:rowOff>31432</xdr:rowOff>
    </xdr:from>
    <xdr:to>
      <xdr:col>91</xdr:col>
      <xdr:colOff>140115</xdr:colOff>
      <xdr:row>53</xdr:row>
      <xdr:rowOff>178117</xdr:rowOff>
    </xdr:to>
    <xdr:sp macro="" textlink="">
      <xdr:nvSpPr>
        <xdr:cNvPr id="317" name="직사각형 316">
          <a:hlinkClick xmlns:r="http://schemas.openxmlformats.org/officeDocument/2006/relationships" r:id="" tooltip="프로젝트명 : 우리은행 M/S 및 기업신용평가모형 개선&#10;성명 : 성명9&#10;계약 : 2018-06-04~2019-03-31&#10;진행 : 2018-06-04~2019-04-05&#10;실투입일수 : 181&#10;기간대비 투입율 : 102.33&#10;실투입기준 투입율 : 84.19&#10;"/>
        </xdr:cNvPr>
        <xdr:cNvSpPr/>
      </xdr:nvSpPr>
      <xdr:spPr>
        <a:xfrm>
          <a:off x="10593243" y="10594657"/>
          <a:ext cx="623467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48</xdr:col>
      <xdr:colOff>49068</xdr:colOff>
      <xdr:row>53</xdr:row>
      <xdr:rowOff>83819</xdr:rowOff>
    </xdr:from>
    <xdr:to>
      <xdr:col>92</xdr:col>
      <xdr:colOff>101150</xdr:colOff>
      <xdr:row>53</xdr:row>
      <xdr:rowOff>125729</xdr:rowOff>
    </xdr:to>
    <xdr:sp macro="" textlink="">
      <xdr:nvSpPr>
        <xdr:cNvPr id="318" name="직사각형 317">
          <a:hlinkClick xmlns:r="http://schemas.openxmlformats.org/officeDocument/2006/relationships" r:id="" tooltip="프로젝트명 : 우리은행 M/S 및 기업신용평가모형 개선&#10;성명 : 성명9&#10;계약 : 2018-06-04~2019-03-31&#10;진행 : 2018-06-04~2019-04-05&#10;실투입일수 : 181&#10;기간대비 투입율 : 102.33&#10;실투입기준 투입율 : 84.19&#10;"/>
        </xdr:cNvPr>
        <xdr:cNvSpPr/>
      </xdr:nvSpPr>
      <xdr:spPr>
        <a:xfrm>
          <a:off x="10593243" y="10647044"/>
          <a:ext cx="633858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85436</xdr:colOff>
      <xdr:row>54</xdr:row>
      <xdr:rowOff>31432</xdr:rowOff>
    </xdr:from>
    <xdr:to>
      <xdr:col>91</xdr:col>
      <xdr:colOff>140115</xdr:colOff>
      <xdr:row>54</xdr:row>
      <xdr:rowOff>178117</xdr:rowOff>
    </xdr:to>
    <xdr:sp macro="" textlink="">
      <xdr:nvSpPr>
        <xdr:cNvPr id="319" name="직사각형 318">
          <a:hlinkClick xmlns:r="http://schemas.openxmlformats.org/officeDocument/2006/relationships" r:id="" tooltip="프로젝트명 : 우리은행 M/S 및 기업신용평가모형 개선&#10;성명 : 전체&#10;계약 : 2018-11-04~2019-03-31&#10;진행 : 2018-10-08~2019-03-07&#10;투입인원 : 1&#10;기간대비 투입율 : 103.81&#10;실투입기준 투입율 : 103.81&#10;"/>
        </xdr:cNvPr>
        <xdr:cNvSpPr/>
      </xdr:nvSpPr>
      <xdr:spPr>
        <a:xfrm>
          <a:off x="13772861" y="10804207"/>
          <a:ext cx="3055054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66</xdr:col>
      <xdr:colOff>95826</xdr:colOff>
      <xdr:row>54</xdr:row>
      <xdr:rowOff>83819</xdr:rowOff>
    </xdr:from>
    <xdr:to>
      <xdr:col>88</xdr:col>
      <xdr:colOff>69977</xdr:colOff>
      <xdr:row>54</xdr:row>
      <xdr:rowOff>125729</xdr:rowOff>
    </xdr:to>
    <xdr:sp macro="" textlink="">
      <xdr:nvSpPr>
        <xdr:cNvPr id="320" name="직사각형 319">
          <a:hlinkClick xmlns:r="http://schemas.openxmlformats.org/officeDocument/2006/relationships" r:id="" tooltip="프로젝트명 : 우리은행 M/S 및 기업신용평가모형 개선&#10;성명 : 전체&#10;계약 : 2018-11-04~2019-03-31&#10;진행 : 2018-10-08~2019-03-07&#10;투입인원 : 1&#10;기간대비 투입율 : 103.81&#10;실투입기준 투입율 : 103.81&#10;"/>
        </xdr:cNvPr>
        <xdr:cNvSpPr/>
      </xdr:nvSpPr>
      <xdr:spPr>
        <a:xfrm>
          <a:off x="13211751" y="10856594"/>
          <a:ext cx="3117401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48</xdr:col>
      <xdr:colOff>49068</xdr:colOff>
      <xdr:row>55</xdr:row>
      <xdr:rowOff>31432</xdr:rowOff>
    </xdr:from>
    <xdr:to>
      <xdr:col>91</xdr:col>
      <xdr:colOff>140115</xdr:colOff>
      <xdr:row>55</xdr:row>
      <xdr:rowOff>178117</xdr:rowOff>
    </xdr:to>
    <xdr:sp macro="" textlink="">
      <xdr:nvSpPr>
        <xdr:cNvPr id="321" name="직사각형 320">
          <a:hlinkClick xmlns:r="http://schemas.openxmlformats.org/officeDocument/2006/relationships" r:id="" tooltip="프로젝트명 : 우리은행 M/S 및 기업신용평가모형 개선&#10;성명 : 성명9&#10;계약 : 2018-06-04~2019-03-31&#10;진행 : 2018-06-04~2019-04-05&#10;실투입일수 : 220&#10;기간대비 투입율 : 102.33&#10;실투입기준 투입율 : 102.33&#10;"/>
        </xdr:cNvPr>
        <xdr:cNvSpPr/>
      </xdr:nvSpPr>
      <xdr:spPr>
        <a:xfrm>
          <a:off x="10593243" y="11013757"/>
          <a:ext cx="623467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48</xdr:col>
      <xdr:colOff>49068</xdr:colOff>
      <xdr:row>55</xdr:row>
      <xdr:rowOff>83819</xdr:rowOff>
    </xdr:from>
    <xdr:to>
      <xdr:col>92</xdr:col>
      <xdr:colOff>101150</xdr:colOff>
      <xdr:row>55</xdr:row>
      <xdr:rowOff>125729</xdr:rowOff>
    </xdr:to>
    <xdr:sp macro="" textlink="">
      <xdr:nvSpPr>
        <xdr:cNvPr id="322" name="직사각형 321">
          <a:hlinkClick xmlns:r="http://schemas.openxmlformats.org/officeDocument/2006/relationships" r:id="" tooltip="프로젝트명 : 우리은행 M/S 및 기업신용평가모형 개선&#10;성명 : 성명9&#10;계약 : 2018-06-04~2019-03-31&#10;진행 : 2018-06-04~2019-04-05&#10;실투입일수 : 220&#10;기간대비 투입율 : 102.33&#10;실투입기준 투입율 : 102.33&#10;"/>
        </xdr:cNvPr>
        <xdr:cNvSpPr/>
      </xdr:nvSpPr>
      <xdr:spPr>
        <a:xfrm>
          <a:off x="10593243" y="11066144"/>
          <a:ext cx="633858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48</xdr:col>
      <xdr:colOff>49068</xdr:colOff>
      <xdr:row>56</xdr:row>
      <xdr:rowOff>31432</xdr:rowOff>
    </xdr:from>
    <xdr:to>
      <xdr:col>91</xdr:col>
      <xdr:colOff>140115</xdr:colOff>
      <xdr:row>56</xdr:row>
      <xdr:rowOff>178117</xdr:rowOff>
    </xdr:to>
    <xdr:sp macro="" textlink="">
      <xdr:nvSpPr>
        <xdr:cNvPr id="323" name="직사각형 322">
          <a:hlinkClick xmlns:r="http://schemas.openxmlformats.org/officeDocument/2006/relationships" r:id="" tooltip="프로젝트명 : 우리은행 M/S 및 기업신용평가모형 개선&#10;성명 : 성명9&#10;계약 : 2018-06-04~2019-03-31&#10;진행 : 2018-06-04~2019-04-05&#10;실투입일수 : 220&#10;기간대비 투입율 : 102.33&#10;실투입기준 투입율 : 102.33&#10;"/>
        </xdr:cNvPr>
        <xdr:cNvSpPr/>
      </xdr:nvSpPr>
      <xdr:spPr>
        <a:xfrm>
          <a:off x="10593243" y="11223307"/>
          <a:ext cx="623467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48</xdr:col>
      <xdr:colOff>49068</xdr:colOff>
      <xdr:row>56</xdr:row>
      <xdr:rowOff>83819</xdr:rowOff>
    </xdr:from>
    <xdr:to>
      <xdr:col>92</xdr:col>
      <xdr:colOff>101150</xdr:colOff>
      <xdr:row>56</xdr:row>
      <xdr:rowOff>125729</xdr:rowOff>
    </xdr:to>
    <xdr:sp macro="" textlink="">
      <xdr:nvSpPr>
        <xdr:cNvPr id="324" name="직사각형 323">
          <a:hlinkClick xmlns:r="http://schemas.openxmlformats.org/officeDocument/2006/relationships" r:id="" tooltip="프로젝트명 : 우리은행 M/S 및 기업신용평가모형 개선&#10;성명 : 성명9&#10;계약 : 2018-06-04~2019-03-31&#10;진행 : 2018-06-04~2019-04-05&#10;실투입일수 : 220&#10;기간대비 투입율 : 102.33&#10;실투입기준 투입율 : 102.33&#10;"/>
        </xdr:cNvPr>
        <xdr:cNvSpPr/>
      </xdr:nvSpPr>
      <xdr:spPr>
        <a:xfrm>
          <a:off x="10593243" y="11275694"/>
          <a:ext cx="633858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57</xdr:col>
      <xdr:colOff>30884</xdr:colOff>
      <xdr:row>57</xdr:row>
      <xdr:rowOff>31432</xdr:rowOff>
    </xdr:from>
    <xdr:to>
      <xdr:col>91</xdr:col>
      <xdr:colOff>140115</xdr:colOff>
      <xdr:row>57</xdr:row>
      <xdr:rowOff>178117</xdr:rowOff>
    </xdr:to>
    <xdr:sp macro="" textlink="">
      <xdr:nvSpPr>
        <xdr:cNvPr id="325" name="직사각형 324">
          <a:hlinkClick xmlns:r="http://schemas.openxmlformats.org/officeDocument/2006/relationships" r:id="" tooltip="프로젝트명 : 우리은행 M/S 및 기업신용평가모형 개선&#10;성명 : 성명7&#10;계약 : 2018-08-04~2019-03-31&#10;진행 : 2018-08-06~2019-04-05&#10;실투입일수 : 175&#10;기간대비 투입율 : 102.94&#10;실투입기준 투입율 : 102.94&#10;"/>
        </xdr:cNvPr>
        <xdr:cNvSpPr/>
      </xdr:nvSpPr>
      <xdr:spPr>
        <a:xfrm>
          <a:off x="11860934" y="11432857"/>
          <a:ext cx="4966981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57</xdr:col>
      <xdr:colOff>72447</xdr:colOff>
      <xdr:row>57</xdr:row>
      <xdr:rowOff>83819</xdr:rowOff>
    </xdr:from>
    <xdr:to>
      <xdr:col>92</xdr:col>
      <xdr:colOff>101150</xdr:colOff>
      <xdr:row>57</xdr:row>
      <xdr:rowOff>125729</xdr:rowOff>
    </xdr:to>
    <xdr:sp macro="" textlink="">
      <xdr:nvSpPr>
        <xdr:cNvPr id="326" name="직사각형 325">
          <a:hlinkClick xmlns:r="http://schemas.openxmlformats.org/officeDocument/2006/relationships" r:id="" tooltip="프로젝트명 : 우리은행 M/S 및 기업신용평가모형 개선&#10;성명 : 성명7&#10;계약 : 2018-08-04~2019-03-31&#10;진행 : 2018-08-06~2019-04-05&#10;실투입일수 : 175&#10;기간대비 투입율 : 102.94&#10;실투입기준 투입율 : 102.94&#10;"/>
        </xdr:cNvPr>
        <xdr:cNvSpPr/>
      </xdr:nvSpPr>
      <xdr:spPr>
        <a:xfrm>
          <a:off x="11902497" y="11485244"/>
          <a:ext cx="5029328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93</xdr:col>
      <xdr:colOff>20493</xdr:colOff>
      <xdr:row>58</xdr:row>
      <xdr:rowOff>31432</xdr:rowOff>
    </xdr:from>
    <xdr:to>
      <xdr:col>127</xdr:col>
      <xdr:colOff>67378</xdr:colOff>
      <xdr:row>58</xdr:row>
      <xdr:rowOff>178117</xdr:rowOff>
    </xdr:to>
    <xdr:sp macro="" textlink="">
      <xdr:nvSpPr>
        <xdr:cNvPr id="327" name="직사각형 326">
          <a:hlinkClick xmlns:r="http://schemas.openxmlformats.org/officeDocument/2006/relationships" r:id="" tooltip="프로젝트명 : 우리지주 내부등급법 이행 시스템 구축&#10;성명 : 전체&#10;계약 : 2019-04-08~2019-11-30&#10;진행 : 2019-04-08~2019-11-29&#10;투입인원 : 3&#10;기간대비 투입율 : 100&#10;실투입기준 투입율 : 116.47&#10;"/>
        </xdr:cNvPr>
        <xdr:cNvSpPr/>
      </xdr:nvSpPr>
      <xdr:spPr>
        <a:xfrm>
          <a:off x="16994043" y="11642407"/>
          <a:ext cx="490463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93</xdr:col>
      <xdr:colOff>20493</xdr:colOff>
      <xdr:row>58</xdr:row>
      <xdr:rowOff>83819</xdr:rowOff>
    </xdr:from>
    <xdr:to>
      <xdr:col>127</xdr:col>
      <xdr:colOff>46597</xdr:colOff>
      <xdr:row>58</xdr:row>
      <xdr:rowOff>125729</xdr:rowOff>
    </xdr:to>
    <xdr:sp macro="" textlink="">
      <xdr:nvSpPr>
        <xdr:cNvPr id="328" name="직사각형 327">
          <a:hlinkClick xmlns:r="http://schemas.openxmlformats.org/officeDocument/2006/relationships" r:id="" tooltip="프로젝트명 : 우리지주 내부등급법 이행 시스템 구축&#10;성명 : 전체&#10;계약 : 2019-04-08~2019-11-30&#10;진행 : 2019-04-08~2019-11-29&#10;투입인원 : 3&#10;기간대비 투입율 : 100&#10;실투입기준 투입율 : 116.47&#10;"/>
        </xdr:cNvPr>
        <xdr:cNvSpPr/>
      </xdr:nvSpPr>
      <xdr:spPr>
        <a:xfrm>
          <a:off x="16994043" y="11694794"/>
          <a:ext cx="4883854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93</xdr:col>
      <xdr:colOff>20493</xdr:colOff>
      <xdr:row>59</xdr:row>
      <xdr:rowOff>83819</xdr:rowOff>
    </xdr:from>
    <xdr:to>
      <xdr:col>96</xdr:col>
      <xdr:colOff>49195</xdr:colOff>
      <xdr:row>59</xdr:row>
      <xdr:rowOff>125729</xdr:rowOff>
    </xdr:to>
    <xdr:sp macro="" textlink="">
      <xdr:nvSpPr>
        <xdr:cNvPr id="329" name="직사각형 328">
          <a:hlinkClick xmlns:r="http://schemas.openxmlformats.org/officeDocument/2006/relationships" r:id="" tooltip="프로젝트명 : 우리지주 내부등급법 이행 시스템 구축&#10;성명 : 홍길동&#10;계약 : ~&#10;진행 : 2019-04-08~2019-04-30&#10;실투입일수 : 17&#10;기간대비 투입율 : &#10;실투입기준 투입율 : &#10;"/>
        </xdr:cNvPr>
        <xdr:cNvSpPr/>
      </xdr:nvSpPr>
      <xdr:spPr>
        <a:xfrm>
          <a:off x="16994043" y="11904344"/>
          <a:ext cx="457327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93</xdr:col>
      <xdr:colOff>20493</xdr:colOff>
      <xdr:row>60</xdr:row>
      <xdr:rowOff>83819</xdr:rowOff>
    </xdr:from>
    <xdr:to>
      <xdr:col>95</xdr:col>
      <xdr:colOff>25815</xdr:colOff>
      <xdr:row>60</xdr:row>
      <xdr:rowOff>125729</xdr:rowOff>
    </xdr:to>
    <xdr:sp macro="" textlink="">
      <xdr:nvSpPr>
        <xdr:cNvPr id="330" name="직사각형 329">
          <a:hlinkClick xmlns:r="http://schemas.openxmlformats.org/officeDocument/2006/relationships" r:id="" tooltip="프로젝트명 : 우리지주 내부등급법 이행 시스템 구축&#10;성명 : 성명7&#10;계약 : ~&#10;진행 : 2019-04-08~2019-04-22&#10;실투입일수 : 11&#10;기간대비 투입율 : &#10;실투입기준 투입율 : &#10;"/>
        </xdr:cNvPr>
        <xdr:cNvSpPr/>
      </xdr:nvSpPr>
      <xdr:spPr>
        <a:xfrm>
          <a:off x="16994043" y="12113894"/>
          <a:ext cx="29107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93</xdr:col>
      <xdr:colOff>20493</xdr:colOff>
      <xdr:row>61</xdr:row>
      <xdr:rowOff>31432</xdr:rowOff>
    </xdr:from>
    <xdr:to>
      <xdr:col>127</xdr:col>
      <xdr:colOff>67378</xdr:colOff>
      <xdr:row>61</xdr:row>
      <xdr:rowOff>178117</xdr:rowOff>
    </xdr:to>
    <xdr:sp macro="" textlink="">
      <xdr:nvSpPr>
        <xdr:cNvPr id="331" name="직사각형 330">
          <a:hlinkClick xmlns:r="http://schemas.openxmlformats.org/officeDocument/2006/relationships" r:id="" tooltip="프로젝트명 : 우리지주 내부등급법 이행 시스템 구축&#10;성명 : 성명7&#10;계약 : 2019-04-08~2019-11-30&#10;진행 : 2019-04-08~2019-11-29&#10;실투입일수 : 170&#10;기간대비 투입율 : 100&#10;실투입기준 투입율 : 100&#10;"/>
        </xdr:cNvPr>
        <xdr:cNvSpPr/>
      </xdr:nvSpPr>
      <xdr:spPr>
        <a:xfrm>
          <a:off x="16994043" y="12271057"/>
          <a:ext cx="490463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93</xdr:col>
      <xdr:colOff>20493</xdr:colOff>
      <xdr:row>61</xdr:row>
      <xdr:rowOff>83819</xdr:rowOff>
    </xdr:from>
    <xdr:to>
      <xdr:col>127</xdr:col>
      <xdr:colOff>46597</xdr:colOff>
      <xdr:row>61</xdr:row>
      <xdr:rowOff>125729</xdr:rowOff>
    </xdr:to>
    <xdr:sp macro="" textlink="">
      <xdr:nvSpPr>
        <xdr:cNvPr id="332" name="직사각형 331">
          <a:hlinkClick xmlns:r="http://schemas.openxmlformats.org/officeDocument/2006/relationships" r:id="" tooltip="프로젝트명 : 우리지주 내부등급법 이행 시스템 구축&#10;성명 : 성명7&#10;계약 : 2019-04-08~2019-11-30&#10;진행 : 2019-04-08~2019-11-29&#10;실투입일수 : 170&#10;기간대비 투입율 : 100&#10;실투입기준 투입율 : 100&#10;"/>
        </xdr:cNvPr>
        <xdr:cNvSpPr/>
      </xdr:nvSpPr>
      <xdr:spPr>
        <a:xfrm>
          <a:off x="16994043" y="12323444"/>
          <a:ext cx="4883854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291230</xdr:colOff>
      <xdr:row>0</xdr:row>
      <xdr:rowOff>31432</xdr:rowOff>
    </xdr:from>
    <xdr:to>
      <xdr:col>1</xdr:col>
      <xdr:colOff>554403</xdr:colOff>
      <xdr:row>0</xdr:row>
      <xdr:rowOff>178117</xdr:rowOff>
    </xdr:to>
    <xdr:sp macro="" textlink="">
      <xdr:nvSpPr>
        <xdr:cNvPr id="34" name="직사각형 33">
          <a:hlinkClick xmlns:r="http://schemas.openxmlformats.org/officeDocument/2006/relationships" r:id="" tooltip="2001-02-01-2001-03-01"/>
        </xdr:cNvPr>
        <xdr:cNvSpPr/>
      </xdr:nvSpPr>
      <xdr:spPr>
        <a:xfrm>
          <a:off x="977030" y="31432"/>
          <a:ext cx="263173" cy="146685"/>
        </a:xfrm>
        <a:prstGeom prst="rect">
          <a:avLst/>
        </a:prstGeom>
        <a:solidFill>
          <a:srgbClr val="FAD2B4">
            <a:alpha val="70000"/>
          </a:srgbClr>
        </a:solidFill>
        <a:ln w="6350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291230</xdr:colOff>
      <xdr:row>0</xdr:row>
      <xdr:rowOff>73342</xdr:rowOff>
    </xdr:from>
    <xdr:to>
      <xdr:col>1</xdr:col>
      <xdr:colOff>554403</xdr:colOff>
      <xdr:row>0</xdr:row>
      <xdr:rowOff>136207</xdr:rowOff>
    </xdr:to>
    <xdr:sp macro="" textlink="">
      <xdr:nvSpPr>
        <xdr:cNvPr id="35" name="직사각형 34">
          <a:hlinkClick xmlns:r="http://schemas.openxmlformats.org/officeDocument/2006/relationships" r:id="" tooltip="2001-02-01-2001-03-01"/>
        </xdr:cNvPr>
        <xdr:cNvSpPr/>
      </xdr:nvSpPr>
      <xdr:spPr>
        <a:xfrm>
          <a:off x="977030" y="73342"/>
          <a:ext cx="263173" cy="62865"/>
        </a:xfrm>
        <a:prstGeom prst="rect">
          <a:avLst/>
        </a:prstGeom>
        <a:solidFill>
          <a:srgbClr val="6ED2FA">
            <a:alpha val="70000"/>
          </a:srgbClr>
        </a:solidFill>
        <a:ln w="6350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B91"/>
  <sheetViews>
    <sheetView workbookViewId="0">
      <selection activeCell="E27" sqref="E27"/>
    </sheetView>
  </sheetViews>
  <sheetFormatPr defaultRowHeight="16.5"/>
  <cols>
    <col min="1" max="1" width="11.125" bestFit="1" customWidth="1"/>
    <col min="2" max="2" width="13.75" bestFit="1" customWidth="1"/>
  </cols>
  <sheetData>
    <row r="1" spans="1:2">
      <c r="A1" s="1" t="s">
        <v>26</v>
      </c>
      <c r="B1" s="2" t="s">
        <v>27</v>
      </c>
    </row>
    <row r="2" spans="1:2">
      <c r="A2" s="1" t="s">
        <v>28</v>
      </c>
      <c r="B2" s="3" t="s">
        <v>29</v>
      </c>
    </row>
    <row r="3" spans="1:2">
      <c r="A3" s="1" t="s">
        <v>30</v>
      </c>
      <c r="B3" s="3" t="s">
        <v>31</v>
      </c>
    </row>
    <row r="4" spans="1:2">
      <c r="A4" s="1" t="s">
        <v>32</v>
      </c>
      <c r="B4" s="3" t="s">
        <v>33</v>
      </c>
    </row>
    <row r="5" spans="1:2">
      <c r="A5" s="1" t="s">
        <v>34</v>
      </c>
      <c r="B5" s="3" t="s">
        <v>31</v>
      </c>
    </row>
    <row r="6" spans="1:2">
      <c r="A6" s="1" t="s">
        <v>35</v>
      </c>
      <c r="B6" s="3" t="s">
        <v>36</v>
      </c>
    </row>
    <row r="7" spans="1:2">
      <c r="A7" s="1" t="s">
        <v>37</v>
      </c>
      <c r="B7" s="3" t="s">
        <v>38</v>
      </c>
    </row>
    <row r="8" spans="1:2">
      <c r="A8" s="1" t="s">
        <v>39</v>
      </c>
      <c r="B8" s="3" t="s">
        <v>40</v>
      </c>
    </row>
    <row r="9" spans="1:2">
      <c r="A9" s="1" t="s">
        <v>41</v>
      </c>
      <c r="B9" s="3" t="s">
        <v>42</v>
      </c>
    </row>
    <row r="10" spans="1:2">
      <c r="A10" s="1" t="s">
        <v>43</v>
      </c>
      <c r="B10" s="3" t="s">
        <v>44</v>
      </c>
    </row>
    <row r="11" spans="1:2">
      <c r="A11" s="1" t="s">
        <v>45</v>
      </c>
      <c r="B11" s="3" t="s">
        <v>46</v>
      </c>
    </row>
    <row r="12" spans="1:2">
      <c r="A12" s="1" t="s">
        <v>47</v>
      </c>
      <c r="B12" s="3" t="s">
        <v>48</v>
      </c>
    </row>
    <row r="13" spans="1:2">
      <c r="A13" s="1" t="s">
        <v>49</v>
      </c>
      <c r="B13" s="3" t="s">
        <v>46</v>
      </c>
    </row>
    <row r="14" spans="1:2">
      <c r="A14" s="1" t="s">
        <v>50</v>
      </c>
      <c r="B14" s="3" t="s">
        <v>51</v>
      </c>
    </row>
    <row r="15" spans="1:2">
      <c r="A15" s="1" t="s">
        <v>52</v>
      </c>
      <c r="B15" s="3" t="s">
        <v>53</v>
      </c>
    </row>
    <row r="16" spans="1:2">
      <c r="A16" s="1" t="s">
        <v>54</v>
      </c>
      <c r="B16" s="3" t="s">
        <v>55</v>
      </c>
    </row>
    <row r="17" spans="1:2">
      <c r="A17" s="1" t="s">
        <v>13</v>
      </c>
      <c r="B17" s="3" t="s">
        <v>29</v>
      </c>
    </row>
    <row r="18" spans="1:2">
      <c r="A18" s="1" t="s">
        <v>14</v>
      </c>
      <c r="B18" s="3" t="s">
        <v>31</v>
      </c>
    </row>
    <row r="19" spans="1:2">
      <c r="A19" s="1" t="s">
        <v>15</v>
      </c>
      <c r="B19" s="3" t="s">
        <v>33</v>
      </c>
    </row>
    <row r="20" spans="1:2">
      <c r="A20" s="1" t="s">
        <v>16</v>
      </c>
      <c r="B20" s="3" t="s">
        <v>31</v>
      </c>
    </row>
    <row r="21" spans="1:2">
      <c r="A21" s="1" t="s">
        <v>17</v>
      </c>
      <c r="B21" s="3" t="s">
        <v>36</v>
      </c>
    </row>
    <row r="22" spans="1:2">
      <c r="A22" s="1" t="s">
        <v>56</v>
      </c>
      <c r="B22" s="3" t="s">
        <v>38</v>
      </c>
    </row>
    <row r="23" spans="1:2">
      <c r="A23" s="1" t="s">
        <v>57</v>
      </c>
      <c r="B23" s="3" t="s">
        <v>40</v>
      </c>
    </row>
    <row r="24" spans="1:2">
      <c r="A24" s="1" t="s">
        <v>12</v>
      </c>
      <c r="B24" s="3" t="s">
        <v>42</v>
      </c>
    </row>
    <row r="25" spans="1:2">
      <c r="A25" s="1" t="s">
        <v>18</v>
      </c>
      <c r="B25" s="3" t="s">
        <v>44</v>
      </c>
    </row>
    <row r="26" spans="1:2">
      <c r="A26" s="1" t="s">
        <v>19</v>
      </c>
      <c r="B26" s="3" t="s">
        <v>46</v>
      </c>
    </row>
    <row r="27" spans="1:2">
      <c r="A27" s="1" t="s">
        <v>20</v>
      </c>
      <c r="B27" s="3" t="s">
        <v>48</v>
      </c>
    </row>
    <row r="28" spans="1:2">
      <c r="A28" s="1" t="s">
        <v>58</v>
      </c>
      <c r="B28" s="3" t="s">
        <v>46</v>
      </c>
    </row>
    <row r="29" spans="1:2">
      <c r="A29" s="1" t="s">
        <v>21</v>
      </c>
      <c r="B29" s="3" t="s">
        <v>51</v>
      </c>
    </row>
    <row r="30" spans="1:2">
      <c r="A30" s="1" t="s">
        <v>22</v>
      </c>
      <c r="B30" s="3" t="s">
        <v>53</v>
      </c>
    </row>
    <row r="31" spans="1:2">
      <c r="A31" s="1" t="s">
        <v>23</v>
      </c>
      <c r="B31" s="3" t="s">
        <v>55</v>
      </c>
    </row>
    <row r="32" spans="1:2">
      <c r="A32" s="1" t="s">
        <v>24</v>
      </c>
      <c r="B32" s="3" t="s">
        <v>29</v>
      </c>
    </row>
    <row r="33" spans="1:2">
      <c r="A33" s="1" t="s">
        <v>25</v>
      </c>
      <c r="B33" s="3" t="s">
        <v>31</v>
      </c>
    </row>
    <row r="34" spans="1:2">
      <c r="A34" s="1" t="s">
        <v>59</v>
      </c>
      <c r="B34" s="3" t="s">
        <v>33</v>
      </c>
    </row>
    <row r="35" spans="1:2">
      <c r="A35" s="1" t="s">
        <v>60</v>
      </c>
      <c r="B35" s="3" t="s">
        <v>31</v>
      </c>
    </row>
    <row r="36" spans="1:2">
      <c r="A36" s="1" t="s">
        <v>61</v>
      </c>
      <c r="B36" s="3" t="s">
        <v>36</v>
      </c>
    </row>
    <row r="37" spans="1:2">
      <c r="A37" s="1" t="s">
        <v>62</v>
      </c>
      <c r="B37" s="3" t="s">
        <v>40</v>
      </c>
    </row>
    <row r="38" spans="1:2">
      <c r="A38" s="4" t="s">
        <v>63</v>
      </c>
      <c r="B38" s="5" t="s">
        <v>38</v>
      </c>
    </row>
    <row r="39" spans="1:2">
      <c r="A39" s="4" t="s">
        <v>64</v>
      </c>
      <c r="B39" s="5" t="s">
        <v>42</v>
      </c>
    </row>
    <row r="40" spans="1:2">
      <c r="A40" s="4" t="s">
        <v>65</v>
      </c>
      <c r="B40" s="5" t="s">
        <v>44</v>
      </c>
    </row>
    <row r="41" spans="1:2">
      <c r="A41" s="4" t="s">
        <v>66</v>
      </c>
      <c r="B41" s="5" t="s">
        <v>46</v>
      </c>
    </row>
    <row r="42" spans="1:2">
      <c r="A42" s="4" t="s">
        <v>67</v>
      </c>
      <c r="B42" s="5" t="s">
        <v>48</v>
      </c>
    </row>
    <row r="43" spans="1:2">
      <c r="A43" s="4" t="s">
        <v>68</v>
      </c>
      <c r="B43" s="5" t="s">
        <v>46</v>
      </c>
    </row>
    <row r="44" spans="1:2">
      <c r="A44" s="4" t="s">
        <v>69</v>
      </c>
      <c r="B44" s="5" t="s">
        <v>51</v>
      </c>
    </row>
    <row r="45" spans="1:2">
      <c r="A45" s="4" t="s">
        <v>70</v>
      </c>
      <c r="B45" s="5" t="s">
        <v>53</v>
      </c>
    </row>
    <row r="46" spans="1:2">
      <c r="A46" s="4" t="s">
        <v>71</v>
      </c>
      <c r="B46" s="5" t="s">
        <v>55</v>
      </c>
    </row>
    <row r="47" spans="1:2">
      <c r="A47" s="4" t="s">
        <v>72</v>
      </c>
      <c r="B47" s="5" t="s">
        <v>29</v>
      </c>
    </row>
    <row r="48" spans="1:2">
      <c r="A48" s="4" t="s">
        <v>73</v>
      </c>
      <c r="B48" s="5" t="s">
        <v>31</v>
      </c>
    </row>
    <row r="49" spans="1:2">
      <c r="A49" s="4" t="s">
        <v>74</v>
      </c>
      <c r="B49" s="5" t="s">
        <v>33</v>
      </c>
    </row>
    <row r="50" spans="1:2">
      <c r="A50" s="4" t="s">
        <v>75</v>
      </c>
      <c r="B50" s="5" t="s">
        <v>31</v>
      </c>
    </row>
    <row r="51" spans="1:2">
      <c r="A51" s="4" t="s">
        <v>76</v>
      </c>
      <c r="B51" s="5" t="s">
        <v>36</v>
      </c>
    </row>
    <row r="52" spans="1:2">
      <c r="A52" s="4" t="s">
        <v>77</v>
      </c>
      <c r="B52" s="5" t="s">
        <v>38</v>
      </c>
    </row>
    <row r="53" spans="1:2">
      <c r="A53" s="4" t="s">
        <v>78</v>
      </c>
      <c r="B53" s="5" t="s">
        <v>40</v>
      </c>
    </row>
    <row r="54" spans="1:2">
      <c r="A54" s="4" t="s">
        <v>79</v>
      </c>
      <c r="B54" s="5" t="s">
        <v>42</v>
      </c>
    </row>
    <row r="55" spans="1:2">
      <c r="A55" s="4" t="s">
        <v>80</v>
      </c>
      <c r="B55" s="5" t="s">
        <v>44</v>
      </c>
    </row>
    <row r="56" spans="1:2">
      <c r="A56" s="4" t="s">
        <v>81</v>
      </c>
      <c r="B56" s="5" t="s">
        <v>46</v>
      </c>
    </row>
    <row r="57" spans="1:2">
      <c r="A57" s="4" t="s">
        <v>82</v>
      </c>
      <c r="B57" s="5" t="s">
        <v>48</v>
      </c>
    </row>
    <row r="58" spans="1:2">
      <c r="A58" s="4" t="s">
        <v>83</v>
      </c>
      <c r="B58" s="5" t="s">
        <v>46</v>
      </c>
    </row>
    <row r="59" spans="1:2">
      <c r="A59" s="4" t="s">
        <v>84</v>
      </c>
      <c r="B59" s="5" t="s">
        <v>51</v>
      </c>
    </row>
    <row r="60" spans="1:2">
      <c r="A60" s="4" t="s">
        <v>85</v>
      </c>
      <c r="B60" s="5" t="s">
        <v>53</v>
      </c>
    </row>
    <row r="61" spans="1:2">
      <c r="A61" s="4" t="s">
        <v>86</v>
      </c>
      <c r="B61" s="5" t="s">
        <v>55</v>
      </c>
    </row>
    <row r="62" spans="1:2">
      <c r="A62" s="4" t="s">
        <v>87</v>
      </c>
      <c r="B62" s="5" t="s">
        <v>29</v>
      </c>
    </row>
    <row r="63" spans="1:2">
      <c r="A63" s="4" t="s">
        <v>88</v>
      </c>
      <c r="B63" s="5" t="s">
        <v>31</v>
      </c>
    </row>
    <row r="64" spans="1:2">
      <c r="A64" s="4" t="s">
        <v>89</v>
      </c>
      <c r="B64" s="5" t="s">
        <v>33</v>
      </c>
    </row>
    <row r="65" spans="1:2">
      <c r="A65" s="4" t="s">
        <v>90</v>
      </c>
      <c r="B65" s="5" t="s">
        <v>31</v>
      </c>
    </row>
    <row r="66" spans="1:2">
      <c r="A66" s="4" t="s">
        <v>91</v>
      </c>
      <c r="B66" s="5" t="s">
        <v>36</v>
      </c>
    </row>
    <row r="67" spans="1:2">
      <c r="A67" s="4" t="s">
        <v>92</v>
      </c>
      <c r="B67" s="5" t="s">
        <v>38</v>
      </c>
    </row>
    <row r="68" spans="1:2">
      <c r="A68" s="4" t="s">
        <v>93</v>
      </c>
      <c r="B68" s="5" t="s">
        <v>40</v>
      </c>
    </row>
    <row r="69" spans="1:2">
      <c r="A69" s="4" t="s">
        <v>94</v>
      </c>
      <c r="B69" s="5" t="s">
        <v>42</v>
      </c>
    </row>
    <row r="70" spans="1:2">
      <c r="A70" s="4" t="s">
        <v>95</v>
      </c>
      <c r="B70" s="5" t="s">
        <v>44</v>
      </c>
    </row>
    <row r="71" spans="1:2">
      <c r="A71" s="4" t="s">
        <v>96</v>
      </c>
      <c r="B71" s="5" t="s">
        <v>46</v>
      </c>
    </row>
    <row r="72" spans="1:2">
      <c r="A72" s="4" t="s">
        <v>97</v>
      </c>
      <c r="B72" s="5" t="s">
        <v>48</v>
      </c>
    </row>
    <row r="73" spans="1:2">
      <c r="A73" s="4" t="s">
        <v>98</v>
      </c>
      <c r="B73" s="5" t="s">
        <v>46</v>
      </c>
    </row>
    <row r="74" spans="1:2">
      <c r="A74" s="4" t="s">
        <v>99</v>
      </c>
      <c r="B74" s="5" t="s">
        <v>51</v>
      </c>
    </row>
    <row r="75" spans="1:2">
      <c r="A75" s="4" t="s">
        <v>100</v>
      </c>
      <c r="B75" s="5" t="s">
        <v>53</v>
      </c>
    </row>
    <row r="76" spans="1:2">
      <c r="A76" s="4" t="s">
        <v>101</v>
      </c>
      <c r="B76" s="5" t="s">
        <v>55</v>
      </c>
    </row>
    <row r="77" spans="1:2">
      <c r="A77" s="4" t="s">
        <v>102</v>
      </c>
      <c r="B77" s="5" t="s">
        <v>29</v>
      </c>
    </row>
    <row r="78" spans="1:2">
      <c r="A78" s="4" t="s">
        <v>103</v>
      </c>
      <c r="B78" s="5" t="s">
        <v>31</v>
      </c>
    </row>
    <row r="79" spans="1:2">
      <c r="A79" s="4" t="s">
        <v>104</v>
      </c>
      <c r="B79" s="5" t="s">
        <v>33</v>
      </c>
    </row>
    <row r="80" spans="1:2">
      <c r="A80" s="4" t="s">
        <v>105</v>
      </c>
      <c r="B80" s="5" t="s">
        <v>31</v>
      </c>
    </row>
    <row r="81" spans="1:2">
      <c r="A81" s="4" t="s">
        <v>106</v>
      </c>
      <c r="B81" s="5" t="s">
        <v>36</v>
      </c>
    </row>
    <row r="82" spans="1:2">
      <c r="A82" s="4" t="s">
        <v>107</v>
      </c>
      <c r="B82" s="5" t="s">
        <v>38</v>
      </c>
    </row>
    <row r="83" spans="1:2">
      <c r="A83" s="4" t="s">
        <v>108</v>
      </c>
      <c r="B83" s="5" t="s">
        <v>40</v>
      </c>
    </row>
    <row r="84" spans="1:2">
      <c r="A84" s="4" t="s">
        <v>109</v>
      </c>
      <c r="B84" s="5" t="s">
        <v>42</v>
      </c>
    </row>
    <row r="85" spans="1:2">
      <c r="A85" s="4" t="s">
        <v>110</v>
      </c>
      <c r="B85" s="5" t="s">
        <v>44</v>
      </c>
    </row>
    <row r="86" spans="1:2">
      <c r="A86" s="4" t="s">
        <v>111</v>
      </c>
      <c r="B86" s="5" t="s">
        <v>46</v>
      </c>
    </row>
    <row r="87" spans="1:2">
      <c r="A87" s="4" t="s">
        <v>112</v>
      </c>
      <c r="B87" s="5" t="s">
        <v>48</v>
      </c>
    </row>
    <row r="88" spans="1:2">
      <c r="A88" s="4" t="s">
        <v>113</v>
      </c>
      <c r="B88" s="5" t="s">
        <v>46</v>
      </c>
    </row>
    <row r="89" spans="1:2">
      <c r="A89" s="4" t="s">
        <v>114</v>
      </c>
      <c r="B89" s="5" t="s">
        <v>51</v>
      </c>
    </row>
    <row r="90" spans="1:2">
      <c r="A90" s="4" t="s">
        <v>115</v>
      </c>
      <c r="B90" s="5" t="s">
        <v>53</v>
      </c>
    </row>
    <row r="91" spans="1:2">
      <c r="A91" s="4" t="s">
        <v>116</v>
      </c>
      <c r="B91" s="5" t="s">
        <v>55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EI75"/>
  <sheetViews>
    <sheetView tabSelected="1" zoomScaleNormal="10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C7" sqref="C7"/>
    </sheetView>
  </sheetViews>
  <sheetFormatPr defaultRowHeight="16.5"/>
  <cols>
    <col min="1" max="1" width="32.625" style="8" customWidth="1"/>
    <col min="2" max="2" width="11.875" style="8" customWidth="1"/>
    <col min="3" max="3" width="12" style="8" customWidth="1"/>
    <col min="4" max="4" width="9.75" style="8" bestFit="1" customWidth="1"/>
    <col min="5" max="5" width="9.75" style="8" customWidth="1"/>
    <col min="6" max="7" width="9.75" style="8" hidden="1" customWidth="1"/>
    <col min="8" max="8" width="8" style="8" hidden="1" customWidth="1"/>
    <col min="9" max="9" width="9.625" style="8" hidden="1" customWidth="1"/>
    <col min="10" max="11" width="8" style="8" hidden="1" customWidth="1"/>
    <col min="12" max="13" width="9.625" style="8" hidden="1" customWidth="1"/>
    <col min="14" max="14" width="10.625" hidden="1" customWidth="1"/>
    <col min="15" max="25" width="10.625" style="8" hidden="1" customWidth="1"/>
    <col min="26" max="26" width="1.625" style="8" customWidth="1"/>
    <col min="27" max="297" width="1.875" style="8" customWidth="1"/>
    <col min="298" max="16384" width="9" style="8"/>
  </cols>
  <sheetData>
    <row r="1" spans="1:138" ht="17.25">
      <c r="A1" s="9"/>
      <c r="B1" s="9"/>
      <c r="C1" s="9"/>
      <c r="D1" s="9"/>
      <c r="F1" s="9"/>
      <c r="G1" s="9"/>
      <c r="J1" s="9"/>
      <c r="K1" s="9"/>
    </row>
    <row r="2" spans="1:138" ht="17.25" hidden="1" customHeight="1">
      <c r="A2" s="9"/>
      <c r="B2" s="9"/>
      <c r="C2" s="9"/>
      <c r="D2" s="9"/>
      <c r="F2" s="9"/>
      <c r="J2" s="9"/>
      <c r="K2" s="9"/>
    </row>
    <row r="3" spans="1:138" s="9" customFormat="1" ht="17.25"/>
    <row r="4" spans="1:138" s="9" customFormat="1" ht="17.25"/>
    <row r="5" spans="1:138" s="9" customFormat="1" ht="17.25" hidden="1" customHeight="1"/>
    <row r="6" spans="1:138" s="9" customFormat="1" ht="17.25" hidden="1" customHeight="1"/>
    <row r="7" spans="1:138" s="9" customFormat="1" ht="17.25">
      <c r="K7" s="12"/>
    </row>
    <row r="8" spans="1:138" s="9" customFormat="1" ht="17.25"/>
    <row r="9" spans="1:138" s="9" customFormat="1" ht="17.25" hidden="1" customHeight="1"/>
    <row r="10" spans="1:138" ht="17.25">
      <c r="A10" s="9"/>
      <c r="B10" s="9"/>
      <c r="C10" s="9"/>
      <c r="D10" s="9"/>
    </row>
    <row r="11" spans="1:138" ht="23.25" customHeight="1">
      <c r="A11" s="25" t="s">
        <v>117</v>
      </c>
      <c r="B11" s="16" t="s">
        <v>194</v>
      </c>
      <c r="C11" s="17" t="s">
        <v>184</v>
      </c>
      <c r="D11" s="18"/>
      <c r="E11" s="29"/>
      <c r="F11" s="22" t="s">
        <v>125</v>
      </c>
      <c r="G11" s="22"/>
      <c r="H11" s="22" t="s">
        <v>185</v>
      </c>
      <c r="I11" s="22" t="s">
        <v>186</v>
      </c>
      <c r="J11" s="28" t="s">
        <v>187</v>
      </c>
      <c r="K11" s="28" t="s">
        <v>188</v>
      </c>
      <c r="L11" s="24" t="s">
        <v>190</v>
      </c>
      <c r="M11" s="24" t="s">
        <v>189</v>
      </c>
      <c r="AA11" s="19" t="s">
        <v>126</v>
      </c>
      <c r="AB11" s="19"/>
      <c r="AC11" s="19"/>
      <c r="AD11" s="19"/>
      <c r="AE11" s="19" t="s">
        <v>127</v>
      </c>
      <c r="AF11" s="19"/>
      <c r="AG11" s="19"/>
      <c r="AH11" s="19"/>
      <c r="AI11" s="19" t="s">
        <v>128</v>
      </c>
      <c r="AJ11" s="19"/>
      <c r="AK11" s="19"/>
      <c r="AL11" s="19"/>
      <c r="AM11" s="19" t="s">
        <v>129</v>
      </c>
      <c r="AN11" s="19"/>
      <c r="AO11" s="19"/>
      <c r="AP11" s="19"/>
      <c r="AQ11" s="19" t="s">
        <v>130</v>
      </c>
      <c r="AR11" s="19"/>
      <c r="AS11" s="19"/>
      <c r="AT11" s="19"/>
      <c r="AU11" s="19" t="s">
        <v>131</v>
      </c>
      <c r="AV11" s="19"/>
      <c r="AW11" s="19"/>
      <c r="AX11" s="19"/>
      <c r="AY11" s="19" t="s">
        <v>132</v>
      </c>
      <c r="AZ11" s="19"/>
      <c r="BA11" s="19"/>
      <c r="BB11" s="19"/>
      <c r="BC11" s="19" t="s">
        <v>133</v>
      </c>
      <c r="BD11" s="19"/>
      <c r="BE11" s="19"/>
      <c r="BF11" s="19"/>
      <c r="BG11" s="19" t="s">
        <v>134</v>
      </c>
      <c r="BH11" s="19"/>
      <c r="BI11" s="19"/>
      <c r="BJ11" s="19"/>
      <c r="BK11" s="19" t="s">
        <v>135</v>
      </c>
      <c r="BL11" s="19"/>
      <c r="BM11" s="19"/>
      <c r="BN11" s="19"/>
      <c r="BO11" s="19" t="s">
        <v>148</v>
      </c>
      <c r="BP11" s="19"/>
      <c r="BQ11" s="19"/>
      <c r="BR11" s="19"/>
      <c r="BS11" s="19" t="s">
        <v>150</v>
      </c>
      <c r="BT11" s="19"/>
      <c r="BU11" s="19"/>
      <c r="BV11" s="19"/>
      <c r="BW11" s="19" t="s">
        <v>152</v>
      </c>
      <c r="BX11" s="19"/>
      <c r="BY11" s="19"/>
      <c r="BZ11" s="19"/>
      <c r="CA11" s="19" t="s">
        <v>154</v>
      </c>
      <c r="CB11" s="19"/>
      <c r="CC11" s="19"/>
      <c r="CD11" s="19"/>
      <c r="CE11" s="19" t="s">
        <v>156</v>
      </c>
      <c r="CF11" s="19"/>
      <c r="CG11" s="19"/>
      <c r="CH11" s="19"/>
      <c r="CI11" s="19" t="s">
        <v>158</v>
      </c>
      <c r="CJ11" s="19"/>
      <c r="CK11" s="19"/>
      <c r="CL11" s="19"/>
      <c r="CM11" s="19" t="s">
        <v>160</v>
      </c>
      <c r="CN11" s="19"/>
      <c r="CO11" s="19"/>
      <c r="CP11" s="19"/>
      <c r="CQ11" s="19" t="s">
        <v>162</v>
      </c>
      <c r="CR11" s="19"/>
      <c r="CS11" s="19"/>
      <c r="CT11" s="19"/>
      <c r="CU11" s="19" t="s">
        <v>164</v>
      </c>
      <c r="CV11" s="19"/>
      <c r="CW11" s="19"/>
      <c r="CX11" s="19"/>
      <c r="CY11" s="19" t="s">
        <v>166</v>
      </c>
      <c r="CZ11" s="19"/>
      <c r="DA11" s="19"/>
      <c r="DB11" s="19"/>
      <c r="DC11" s="19" t="s">
        <v>168</v>
      </c>
      <c r="DD11" s="19"/>
      <c r="DE11" s="19"/>
      <c r="DF11" s="19"/>
      <c r="DG11" s="19" t="s">
        <v>170</v>
      </c>
      <c r="DH11" s="19"/>
      <c r="DI11" s="19"/>
      <c r="DJ11" s="19"/>
      <c r="DK11" s="19" t="s">
        <v>172</v>
      </c>
      <c r="DL11" s="19"/>
      <c r="DM11" s="19"/>
      <c r="DN11" s="19"/>
      <c r="DO11" s="19" t="s">
        <v>174</v>
      </c>
      <c r="DP11" s="19"/>
      <c r="DQ11" s="19"/>
      <c r="DR11" s="19"/>
      <c r="DS11" s="19" t="s">
        <v>176</v>
      </c>
      <c r="DT11" s="19"/>
      <c r="DU11" s="19"/>
      <c r="DV11" s="19"/>
      <c r="DW11" s="19" t="s">
        <v>178</v>
      </c>
      <c r="DX11" s="19"/>
      <c r="DY11" s="19"/>
      <c r="DZ11" s="19"/>
      <c r="EA11" s="19" t="s">
        <v>180</v>
      </c>
      <c r="EB11" s="19"/>
      <c r="EC11" s="19"/>
      <c r="ED11" s="19"/>
      <c r="EE11" s="19" t="s">
        <v>182</v>
      </c>
      <c r="EF11" s="19"/>
      <c r="EG11" s="19"/>
      <c r="EH11" s="19"/>
    </row>
    <row r="12" spans="1:138" ht="36" customHeight="1">
      <c r="A12" s="25"/>
      <c r="B12" s="22" t="s">
        <v>205</v>
      </c>
      <c r="C12" s="22" t="s">
        <v>118</v>
      </c>
      <c r="D12" s="22" t="s">
        <v>119</v>
      </c>
      <c r="E12" s="22" t="s">
        <v>136</v>
      </c>
      <c r="F12" s="22" t="s">
        <v>118</v>
      </c>
      <c r="G12" s="22" t="s">
        <v>119</v>
      </c>
      <c r="H12" s="22"/>
      <c r="I12" s="22"/>
      <c r="J12" s="22"/>
      <c r="K12" s="22"/>
      <c r="L12" s="25"/>
      <c r="M12" s="25"/>
      <c r="AA12" s="20" t="s">
        <v>137</v>
      </c>
      <c r="AB12" s="21"/>
      <c r="AC12" s="21"/>
      <c r="AD12" s="21"/>
      <c r="AE12" s="20" t="s">
        <v>138</v>
      </c>
      <c r="AF12" s="21"/>
      <c r="AG12" s="21"/>
      <c r="AH12" s="21"/>
      <c r="AI12" s="20" t="s">
        <v>139</v>
      </c>
      <c r="AJ12" s="21"/>
      <c r="AK12" s="21"/>
      <c r="AL12" s="21"/>
      <c r="AM12" s="20" t="s">
        <v>140</v>
      </c>
      <c r="AN12" s="21"/>
      <c r="AO12" s="21"/>
      <c r="AP12" s="21"/>
      <c r="AQ12" s="20" t="s">
        <v>141</v>
      </c>
      <c r="AR12" s="21"/>
      <c r="AS12" s="21"/>
      <c r="AT12" s="21"/>
      <c r="AU12" s="20" t="s">
        <v>142</v>
      </c>
      <c r="AV12" s="21"/>
      <c r="AW12" s="21"/>
      <c r="AX12" s="21"/>
      <c r="AY12" s="20" t="s">
        <v>143</v>
      </c>
      <c r="AZ12" s="21"/>
      <c r="BA12" s="21"/>
      <c r="BB12" s="21"/>
      <c r="BC12" s="20" t="s">
        <v>144</v>
      </c>
      <c r="BD12" s="21"/>
      <c r="BE12" s="21"/>
      <c r="BF12" s="21"/>
      <c r="BG12" s="20" t="s">
        <v>145</v>
      </c>
      <c r="BH12" s="21"/>
      <c r="BI12" s="21"/>
      <c r="BJ12" s="21"/>
      <c r="BK12" s="20" t="s">
        <v>146</v>
      </c>
      <c r="BL12" s="21"/>
      <c r="BM12" s="21"/>
      <c r="BN12" s="21"/>
      <c r="BO12" s="20" t="s">
        <v>147</v>
      </c>
      <c r="BP12" s="21"/>
      <c r="BQ12" s="21"/>
      <c r="BR12" s="21"/>
      <c r="BS12" s="20" t="s">
        <v>149</v>
      </c>
      <c r="BT12" s="21"/>
      <c r="BU12" s="21"/>
      <c r="BV12" s="21"/>
      <c r="BW12" s="20" t="s">
        <v>151</v>
      </c>
      <c r="BX12" s="21"/>
      <c r="BY12" s="21"/>
      <c r="BZ12" s="21"/>
      <c r="CA12" s="20" t="s">
        <v>153</v>
      </c>
      <c r="CB12" s="21"/>
      <c r="CC12" s="21"/>
      <c r="CD12" s="21"/>
      <c r="CE12" s="20" t="s">
        <v>155</v>
      </c>
      <c r="CF12" s="21"/>
      <c r="CG12" s="21"/>
      <c r="CH12" s="21"/>
      <c r="CI12" s="20" t="s">
        <v>157</v>
      </c>
      <c r="CJ12" s="21"/>
      <c r="CK12" s="21"/>
      <c r="CL12" s="21"/>
      <c r="CM12" s="20" t="s">
        <v>159</v>
      </c>
      <c r="CN12" s="21"/>
      <c r="CO12" s="21"/>
      <c r="CP12" s="21"/>
      <c r="CQ12" s="20" t="s">
        <v>161</v>
      </c>
      <c r="CR12" s="21"/>
      <c r="CS12" s="21"/>
      <c r="CT12" s="21"/>
      <c r="CU12" s="20" t="s">
        <v>163</v>
      </c>
      <c r="CV12" s="21"/>
      <c r="CW12" s="21"/>
      <c r="CX12" s="21"/>
      <c r="CY12" s="20" t="s">
        <v>165</v>
      </c>
      <c r="CZ12" s="21"/>
      <c r="DA12" s="21"/>
      <c r="DB12" s="21"/>
      <c r="DC12" s="20" t="s">
        <v>167</v>
      </c>
      <c r="DD12" s="21"/>
      <c r="DE12" s="21"/>
      <c r="DF12" s="21"/>
      <c r="DG12" s="20" t="s">
        <v>169</v>
      </c>
      <c r="DH12" s="21"/>
      <c r="DI12" s="21"/>
      <c r="DJ12" s="21"/>
      <c r="DK12" s="20" t="s">
        <v>171</v>
      </c>
      <c r="DL12" s="21"/>
      <c r="DM12" s="21"/>
      <c r="DN12" s="21"/>
      <c r="DO12" s="20" t="s">
        <v>173</v>
      </c>
      <c r="DP12" s="21"/>
      <c r="DQ12" s="21"/>
      <c r="DR12" s="21"/>
      <c r="DS12" s="20" t="s">
        <v>175</v>
      </c>
      <c r="DT12" s="21"/>
      <c r="DU12" s="21"/>
      <c r="DV12" s="21"/>
      <c r="DW12" s="20" t="s">
        <v>177</v>
      </c>
      <c r="DX12" s="21"/>
      <c r="DY12" s="21"/>
      <c r="DZ12" s="21"/>
      <c r="EA12" s="20" t="s">
        <v>179</v>
      </c>
      <c r="EB12" s="21"/>
      <c r="EC12" s="21"/>
      <c r="ED12" s="21"/>
      <c r="EE12" s="20" t="s">
        <v>181</v>
      </c>
      <c r="EF12" s="21"/>
      <c r="EG12" s="21"/>
      <c r="EH12" s="21"/>
    </row>
    <row r="13" spans="1:138" ht="9" customHeight="1">
      <c r="A13" s="23"/>
      <c r="B13" s="27" t="s">
        <v>196</v>
      </c>
      <c r="C13" s="27"/>
      <c r="D13" s="27"/>
      <c r="E13" s="26"/>
      <c r="F13" s="27"/>
      <c r="G13" s="27"/>
      <c r="H13" s="23"/>
      <c r="I13" s="23"/>
      <c r="J13" s="23"/>
      <c r="K13" s="23"/>
      <c r="L13" s="26"/>
      <c r="M13" s="26"/>
      <c r="N13" s="6"/>
      <c r="O13" s="13"/>
      <c r="AA13" s="10">
        <v>43100</v>
      </c>
      <c r="AB13" s="10">
        <v>43107</v>
      </c>
      <c r="AC13" s="10">
        <v>43114</v>
      </c>
      <c r="AD13" s="10">
        <v>43121</v>
      </c>
      <c r="AE13" s="10">
        <v>43128</v>
      </c>
      <c r="AF13" s="10">
        <v>43135</v>
      </c>
      <c r="AG13" s="10">
        <v>43142</v>
      </c>
      <c r="AH13" s="10">
        <v>43149</v>
      </c>
      <c r="AI13" s="10">
        <v>43156</v>
      </c>
      <c r="AJ13" s="10">
        <v>43163</v>
      </c>
      <c r="AK13" s="10">
        <v>43170</v>
      </c>
      <c r="AL13" s="10">
        <v>43177</v>
      </c>
      <c r="AM13" s="10">
        <v>43184</v>
      </c>
      <c r="AN13" s="10">
        <v>43191</v>
      </c>
      <c r="AO13" s="10">
        <v>43198</v>
      </c>
      <c r="AP13" s="10">
        <v>43205</v>
      </c>
      <c r="AQ13" s="10">
        <v>43212</v>
      </c>
      <c r="AR13" s="10">
        <v>43219</v>
      </c>
      <c r="AS13" s="10">
        <v>43226</v>
      </c>
      <c r="AT13" s="10">
        <v>43233</v>
      </c>
      <c r="AU13" s="10">
        <v>43240</v>
      </c>
      <c r="AV13" s="10">
        <v>43247</v>
      </c>
      <c r="AW13" s="10">
        <v>43254</v>
      </c>
      <c r="AX13" s="10">
        <v>43261</v>
      </c>
      <c r="AY13" s="10">
        <v>43268</v>
      </c>
      <c r="AZ13" s="10">
        <v>43275</v>
      </c>
      <c r="BA13" s="10">
        <v>43282</v>
      </c>
      <c r="BB13" s="10">
        <v>43289</v>
      </c>
      <c r="BC13" s="10">
        <v>43296</v>
      </c>
      <c r="BD13" s="10">
        <v>43303</v>
      </c>
      <c r="BE13" s="10">
        <v>43310</v>
      </c>
      <c r="BF13" s="10">
        <v>43317</v>
      </c>
      <c r="BG13" s="10">
        <v>43324</v>
      </c>
      <c r="BH13" s="10">
        <v>43331</v>
      </c>
      <c r="BI13" s="10">
        <v>43338</v>
      </c>
      <c r="BJ13" s="10">
        <v>43345</v>
      </c>
      <c r="BK13" s="10">
        <v>43352</v>
      </c>
      <c r="BL13" s="10">
        <v>43359</v>
      </c>
      <c r="BM13" s="10">
        <v>43366</v>
      </c>
      <c r="BN13" s="10">
        <v>43373</v>
      </c>
      <c r="BO13" s="10">
        <v>43380</v>
      </c>
      <c r="BP13" s="10">
        <v>43387</v>
      </c>
      <c r="BQ13" s="10">
        <v>43394</v>
      </c>
      <c r="BR13" s="10">
        <v>43401</v>
      </c>
      <c r="BS13" s="10">
        <v>43408</v>
      </c>
      <c r="BT13" s="10">
        <v>43415</v>
      </c>
      <c r="BU13" s="10">
        <v>43422</v>
      </c>
      <c r="BV13" s="10">
        <v>43429</v>
      </c>
      <c r="BW13" s="10">
        <v>43436</v>
      </c>
      <c r="BX13" s="10">
        <v>43443</v>
      </c>
      <c r="BY13" s="10">
        <v>43450</v>
      </c>
      <c r="BZ13" s="10">
        <v>43457</v>
      </c>
      <c r="CA13" s="10">
        <v>43464</v>
      </c>
      <c r="CB13" s="10">
        <v>43471</v>
      </c>
      <c r="CC13" s="10">
        <v>43478</v>
      </c>
      <c r="CD13" s="10">
        <v>43485</v>
      </c>
      <c r="CE13" s="10">
        <v>43492</v>
      </c>
      <c r="CF13" s="10">
        <v>43499</v>
      </c>
      <c r="CG13" s="10">
        <v>43506</v>
      </c>
      <c r="CH13" s="10">
        <v>43513</v>
      </c>
      <c r="CI13" s="10">
        <v>43520</v>
      </c>
      <c r="CJ13" s="10">
        <v>43527</v>
      </c>
      <c r="CK13" s="10">
        <v>43534</v>
      </c>
      <c r="CL13" s="10">
        <v>43541</v>
      </c>
      <c r="CM13" s="10">
        <v>43548</v>
      </c>
      <c r="CN13" s="10">
        <v>43555</v>
      </c>
      <c r="CO13" s="10">
        <v>43562</v>
      </c>
      <c r="CP13" s="10">
        <v>43569</v>
      </c>
      <c r="CQ13" s="10">
        <v>43576</v>
      </c>
      <c r="CR13" s="10">
        <v>43583</v>
      </c>
      <c r="CS13" s="10">
        <v>43590</v>
      </c>
      <c r="CT13" s="10">
        <v>43597</v>
      </c>
      <c r="CU13" s="10">
        <v>43604</v>
      </c>
      <c r="CV13" s="10">
        <v>43611</v>
      </c>
      <c r="CW13" s="10">
        <v>43618</v>
      </c>
      <c r="CX13" s="10">
        <v>43625</v>
      </c>
      <c r="CY13" s="10">
        <v>43632</v>
      </c>
      <c r="CZ13" s="10">
        <v>43639</v>
      </c>
      <c r="DA13" s="10">
        <v>43646</v>
      </c>
      <c r="DB13" s="10">
        <v>43653</v>
      </c>
      <c r="DC13" s="10">
        <v>43660</v>
      </c>
      <c r="DD13" s="10">
        <v>43667</v>
      </c>
      <c r="DE13" s="10">
        <v>43674</v>
      </c>
      <c r="DF13" s="10">
        <v>43681</v>
      </c>
      <c r="DG13" s="10">
        <v>43688</v>
      </c>
      <c r="DH13" s="10">
        <v>43695</v>
      </c>
      <c r="DI13" s="10">
        <v>43702</v>
      </c>
      <c r="DJ13" s="10">
        <v>43709</v>
      </c>
      <c r="DK13" s="10">
        <v>43716</v>
      </c>
      <c r="DL13" s="10">
        <v>43723</v>
      </c>
      <c r="DM13" s="10">
        <v>43730</v>
      </c>
      <c r="DN13" s="10">
        <v>43737</v>
      </c>
      <c r="DO13" s="10">
        <v>43744</v>
      </c>
      <c r="DP13" s="10">
        <v>43751</v>
      </c>
      <c r="DQ13" s="10">
        <v>43758</v>
      </c>
      <c r="DR13" s="10">
        <v>43765</v>
      </c>
      <c r="DS13" s="10">
        <v>43772</v>
      </c>
      <c r="DT13" s="10">
        <v>43779</v>
      </c>
      <c r="DU13" s="10">
        <v>43786</v>
      </c>
      <c r="DV13" s="10">
        <v>43793</v>
      </c>
      <c r="DW13" s="10">
        <v>43800</v>
      </c>
      <c r="DX13" s="10">
        <v>43807</v>
      </c>
      <c r="DY13" s="10">
        <v>43814</v>
      </c>
      <c r="DZ13" s="10">
        <v>43821</v>
      </c>
      <c r="EA13" s="10">
        <v>43828</v>
      </c>
      <c r="EB13" s="10">
        <v>43835</v>
      </c>
      <c r="EC13" s="10">
        <v>43842</v>
      </c>
      <c r="ED13" s="10">
        <v>43849</v>
      </c>
      <c r="EE13" s="10">
        <v>43856</v>
      </c>
      <c r="EF13" s="10">
        <v>43863</v>
      </c>
      <c r="EG13" s="10">
        <v>43870</v>
      </c>
      <c r="EH13" s="10">
        <v>43877</v>
      </c>
    </row>
    <row r="14" spans="1:138">
      <c r="A14" s="8" t="s">
        <v>0</v>
      </c>
      <c r="B14" s="8" t="s">
        <v>197</v>
      </c>
      <c r="C14" s="13">
        <v>43102</v>
      </c>
      <c r="D14" s="13">
        <v>43585</v>
      </c>
      <c r="E14" s="14">
        <v>0.83333333333333337</v>
      </c>
      <c r="F14" s="13">
        <v>43102</v>
      </c>
      <c r="G14" s="13">
        <v>43616</v>
      </c>
      <c r="H14" s="8">
        <v>6</v>
      </c>
      <c r="I14" s="8">
        <v>161.16999999999999</v>
      </c>
      <c r="J14" s="15">
        <f>NETWORKDAYS(C14,D14)</f>
        <v>346</v>
      </c>
      <c r="K14" s="15">
        <f>NETWORKDAYS(F14,G14)</f>
        <v>369</v>
      </c>
      <c r="L14" s="14">
        <f>IFERROR(K14/J14,"")</f>
        <v>1.0664739884393064</v>
      </c>
      <c r="M14" s="14">
        <f>IFERROR(I14/(J14*E14),"")</f>
        <v>0.55897109826589586</v>
      </c>
      <c r="N14" s="6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 t="s">
        <v>206</v>
      </c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</row>
    <row r="15" spans="1:138">
      <c r="A15" s="8" t="s">
        <v>0</v>
      </c>
      <c r="B15" s="8" t="s">
        <v>198</v>
      </c>
      <c r="C15" s="13">
        <v>43435</v>
      </c>
      <c r="D15" s="13">
        <v>43585</v>
      </c>
      <c r="E15" s="14">
        <v>1</v>
      </c>
      <c r="F15" s="13">
        <v>43440</v>
      </c>
      <c r="G15" s="13">
        <v>43595</v>
      </c>
      <c r="H15" s="8">
        <v>1</v>
      </c>
      <c r="I15" s="8">
        <v>112</v>
      </c>
      <c r="J15" s="15">
        <f t="shared" ref="J15:J62" si="0">NETWORKDAYS(C15,D15)</f>
        <v>107</v>
      </c>
      <c r="K15" s="15">
        <f t="shared" ref="K15:K62" si="1">NETWORKDAYS(F15,G15)</f>
        <v>112</v>
      </c>
      <c r="L15" s="14">
        <f t="shared" ref="L15:L62" si="2">IFERROR(K15/J15,"")</f>
        <v>1.0467289719626167</v>
      </c>
      <c r="M15" s="14">
        <f t="shared" ref="M15:M62" si="3">IFERROR(I15/(J15*E15),"")</f>
        <v>1.0467289719626167</v>
      </c>
      <c r="N15" s="6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 t="s">
        <v>207</v>
      </c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</row>
    <row r="16" spans="1:138">
      <c r="A16" s="8" t="s">
        <v>0</v>
      </c>
      <c r="B16" s="8" t="s">
        <v>199</v>
      </c>
      <c r="C16" s="13">
        <v>43409</v>
      </c>
      <c r="D16" s="13">
        <v>43585</v>
      </c>
      <c r="E16" s="14">
        <v>1</v>
      </c>
      <c r="F16" s="13">
        <v>43409</v>
      </c>
      <c r="G16" s="13">
        <v>43588</v>
      </c>
      <c r="H16" s="8">
        <v>1</v>
      </c>
      <c r="I16" s="8">
        <v>130</v>
      </c>
      <c r="J16" s="15">
        <f t="shared" si="0"/>
        <v>127</v>
      </c>
      <c r="K16" s="15">
        <f t="shared" si="1"/>
        <v>130</v>
      </c>
      <c r="L16" s="14">
        <f t="shared" si="2"/>
        <v>1.0236220472440944</v>
      </c>
      <c r="M16" s="14">
        <f t="shared" si="3"/>
        <v>1.0236220472440944</v>
      </c>
      <c r="N16" s="6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 t="s">
        <v>208</v>
      </c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</row>
    <row r="17" spans="1:138">
      <c r="A17" s="8" t="s">
        <v>0</v>
      </c>
      <c r="B17" s="8" t="s">
        <v>183</v>
      </c>
      <c r="C17" s="13">
        <v>43427</v>
      </c>
      <c r="D17" s="13">
        <v>43585</v>
      </c>
      <c r="E17" s="14">
        <v>1</v>
      </c>
      <c r="F17" s="13">
        <v>43427</v>
      </c>
      <c r="G17" s="13">
        <v>43595</v>
      </c>
      <c r="H17" s="8">
        <v>1</v>
      </c>
      <c r="I17" s="8">
        <v>121</v>
      </c>
      <c r="J17" s="15">
        <f t="shared" si="0"/>
        <v>113</v>
      </c>
      <c r="K17" s="15">
        <f t="shared" si="1"/>
        <v>121</v>
      </c>
      <c r="L17" s="14">
        <f t="shared" si="2"/>
        <v>1.0707964601769913</v>
      </c>
      <c r="M17" s="14">
        <f t="shared" si="3"/>
        <v>1.0707964601769913</v>
      </c>
      <c r="N17" s="6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 t="s">
        <v>209</v>
      </c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</row>
    <row r="18" spans="1:138">
      <c r="A18" s="8" t="s">
        <v>0</v>
      </c>
      <c r="B18" s="8" t="s">
        <v>200</v>
      </c>
      <c r="C18" s="13"/>
      <c r="D18" s="13"/>
      <c r="E18" s="14"/>
      <c r="F18" s="13">
        <v>43467</v>
      </c>
      <c r="G18" s="13">
        <v>43616</v>
      </c>
      <c r="H18" s="8">
        <v>1</v>
      </c>
      <c r="I18" s="8">
        <v>108</v>
      </c>
      <c r="J18" s="15">
        <f t="shared" si="0"/>
        <v>0</v>
      </c>
      <c r="K18" s="15">
        <f t="shared" si="1"/>
        <v>108</v>
      </c>
      <c r="L18" s="14" t="str">
        <f t="shared" si="2"/>
        <v/>
      </c>
      <c r="M18" s="14" t="str">
        <f t="shared" si="3"/>
        <v/>
      </c>
      <c r="N18" s="6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</row>
    <row r="19" spans="1:138">
      <c r="A19" s="8" t="s">
        <v>0</v>
      </c>
      <c r="B19" s="8" t="s">
        <v>183</v>
      </c>
      <c r="C19" s="13">
        <v>43409</v>
      </c>
      <c r="D19" s="13">
        <v>43585</v>
      </c>
      <c r="E19" s="14">
        <v>1</v>
      </c>
      <c r="F19" s="13">
        <v>43409</v>
      </c>
      <c r="G19" s="13">
        <v>43616</v>
      </c>
      <c r="H19" s="8">
        <v>1</v>
      </c>
      <c r="I19" s="8">
        <v>150</v>
      </c>
      <c r="J19" s="15">
        <f t="shared" si="0"/>
        <v>127</v>
      </c>
      <c r="K19" s="15">
        <f t="shared" si="1"/>
        <v>150</v>
      </c>
      <c r="L19" s="14">
        <f t="shared" si="2"/>
        <v>1.1811023622047243</v>
      </c>
      <c r="M19" s="14">
        <f t="shared" si="3"/>
        <v>1.1811023622047243</v>
      </c>
      <c r="N19" s="6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 t="s">
        <v>210</v>
      </c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</row>
    <row r="20" spans="1:138">
      <c r="A20" s="8" t="s">
        <v>0</v>
      </c>
      <c r="B20" s="8" t="s">
        <v>201</v>
      </c>
      <c r="C20" s="13">
        <v>43102</v>
      </c>
      <c r="D20" s="13">
        <v>43585</v>
      </c>
      <c r="E20" s="14">
        <v>1</v>
      </c>
      <c r="F20" s="13">
        <v>43102</v>
      </c>
      <c r="G20" s="13">
        <v>43585</v>
      </c>
      <c r="H20" s="8">
        <v>1</v>
      </c>
      <c r="I20" s="8">
        <v>346</v>
      </c>
      <c r="J20" s="15">
        <f t="shared" si="0"/>
        <v>346</v>
      </c>
      <c r="K20" s="15">
        <f t="shared" si="1"/>
        <v>346</v>
      </c>
      <c r="L20" s="14">
        <f t="shared" si="2"/>
        <v>1</v>
      </c>
      <c r="M20" s="14">
        <f t="shared" si="3"/>
        <v>1</v>
      </c>
      <c r="N20" s="6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 t="s">
        <v>211</v>
      </c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</row>
    <row r="21" spans="1:138">
      <c r="A21" s="8" t="s">
        <v>6</v>
      </c>
      <c r="B21" s="8" t="s">
        <v>202</v>
      </c>
      <c r="C21" s="13">
        <v>43263</v>
      </c>
      <c r="D21" s="13">
        <v>43492</v>
      </c>
      <c r="E21" s="14">
        <v>1</v>
      </c>
      <c r="F21" s="13">
        <v>43263</v>
      </c>
      <c r="G21" s="13">
        <v>43495</v>
      </c>
      <c r="H21" s="8">
        <v>1</v>
      </c>
      <c r="I21" s="8">
        <v>167</v>
      </c>
      <c r="J21" s="15">
        <f t="shared" si="0"/>
        <v>164</v>
      </c>
      <c r="K21" s="15">
        <f t="shared" si="1"/>
        <v>167</v>
      </c>
      <c r="L21" s="14">
        <f t="shared" si="2"/>
        <v>1.0182926829268293</v>
      </c>
      <c r="M21" s="14">
        <f t="shared" si="3"/>
        <v>1.0182926829268293</v>
      </c>
      <c r="N21" s="6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 t="s">
        <v>212</v>
      </c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</row>
    <row r="22" spans="1:138">
      <c r="A22" s="8" t="s">
        <v>6</v>
      </c>
      <c r="B22" s="8" t="s">
        <v>203</v>
      </c>
      <c r="C22" s="13">
        <v>43263</v>
      </c>
      <c r="D22" s="13">
        <v>43492</v>
      </c>
      <c r="E22" s="14">
        <v>1</v>
      </c>
      <c r="F22" s="13">
        <v>43263</v>
      </c>
      <c r="G22" s="13">
        <v>43495</v>
      </c>
      <c r="H22" s="8">
        <v>1</v>
      </c>
      <c r="I22" s="8">
        <v>167</v>
      </c>
      <c r="J22" s="15">
        <f t="shared" si="0"/>
        <v>164</v>
      </c>
      <c r="K22" s="15">
        <f t="shared" si="1"/>
        <v>167</v>
      </c>
      <c r="L22" s="14">
        <f t="shared" si="2"/>
        <v>1.0182926829268293</v>
      </c>
      <c r="M22" s="14">
        <f t="shared" si="3"/>
        <v>1.0182926829268293</v>
      </c>
      <c r="N22" s="6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 t="s">
        <v>213</v>
      </c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</row>
    <row r="23" spans="1:138">
      <c r="A23" s="8" t="s">
        <v>5</v>
      </c>
      <c r="B23" s="8" t="s">
        <v>204</v>
      </c>
      <c r="C23" s="13">
        <v>43220</v>
      </c>
      <c r="D23" s="13">
        <v>43480</v>
      </c>
      <c r="E23" s="14">
        <v>1</v>
      </c>
      <c r="F23" s="13">
        <v>43220</v>
      </c>
      <c r="G23" s="13">
        <v>43514</v>
      </c>
      <c r="H23" s="8">
        <v>4</v>
      </c>
      <c r="I23" s="8">
        <v>171.75</v>
      </c>
      <c r="J23" s="15">
        <f t="shared" si="0"/>
        <v>187</v>
      </c>
      <c r="K23" s="15">
        <f t="shared" si="1"/>
        <v>211</v>
      </c>
      <c r="L23" s="14">
        <f t="shared" si="2"/>
        <v>1.1283422459893049</v>
      </c>
      <c r="M23" s="14">
        <f t="shared" si="3"/>
        <v>0.91844919786096257</v>
      </c>
      <c r="N23" s="6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 t="s">
        <v>214</v>
      </c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</row>
    <row r="24" spans="1:138">
      <c r="A24" s="8" t="s">
        <v>5</v>
      </c>
      <c r="B24" s="8" t="s">
        <v>183</v>
      </c>
      <c r="C24" s="13">
        <v>43220</v>
      </c>
      <c r="D24" s="13">
        <v>43480</v>
      </c>
      <c r="E24" s="14">
        <v>1</v>
      </c>
      <c r="F24" s="13">
        <v>43220</v>
      </c>
      <c r="G24" s="13">
        <v>43497</v>
      </c>
      <c r="H24" s="8">
        <v>1</v>
      </c>
      <c r="I24" s="8">
        <v>200</v>
      </c>
      <c r="J24" s="15">
        <f t="shared" si="0"/>
        <v>187</v>
      </c>
      <c r="K24" s="15">
        <f t="shared" si="1"/>
        <v>200</v>
      </c>
      <c r="L24" s="14">
        <f t="shared" si="2"/>
        <v>1.0695187165775402</v>
      </c>
      <c r="M24" s="14">
        <f t="shared" si="3"/>
        <v>1.0695187165775402</v>
      </c>
      <c r="N24" s="6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 t="s">
        <v>215</v>
      </c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</row>
    <row r="25" spans="1:138">
      <c r="A25" s="8" t="s">
        <v>5</v>
      </c>
      <c r="B25" s="8" t="s">
        <v>201</v>
      </c>
      <c r="C25" s="13">
        <v>43220</v>
      </c>
      <c r="D25" s="13">
        <v>43480</v>
      </c>
      <c r="E25" s="14">
        <v>1</v>
      </c>
      <c r="F25" s="13">
        <v>43220</v>
      </c>
      <c r="G25" s="13">
        <v>43509</v>
      </c>
      <c r="H25" s="8">
        <v>1</v>
      </c>
      <c r="I25" s="8">
        <v>208</v>
      </c>
      <c r="J25" s="15">
        <f t="shared" si="0"/>
        <v>187</v>
      </c>
      <c r="K25" s="15">
        <f t="shared" si="1"/>
        <v>208</v>
      </c>
      <c r="L25" s="14">
        <f t="shared" si="2"/>
        <v>1.1122994652406417</v>
      </c>
      <c r="M25" s="14">
        <f t="shared" si="3"/>
        <v>1.1122994652406417</v>
      </c>
      <c r="N25" s="6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 t="s">
        <v>216</v>
      </c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</row>
    <row r="26" spans="1:138">
      <c r="A26" s="8" t="s">
        <v>5</v>
      </c>
      <c r="B26" s="8" t="s">
        <v>201</v>
      </c>
      <c r="C26" s="13">
        <v>43312</v>
      </c>
      <c r="D26" s="13">
        <v>43480</v>
      </c>
      <c r="E26" s="14">
        <v>1</v>
      </c>
      <c r="F26" s="13">
        <v>43290</v>
      </c>
      <c r="G26" s="13">
        <v>43514</v>
      </c>
      <c r="H26" s="8">
        <v>1</v>
      </c>
      <c r="I26" s="8">
        <v>161</v>
      </c>
      <c r="J26" s="15">
        <f t="shared" si="0"/>
        <v>121</v>
      </c>
      <c r="K26" s="15">
        <f t="shared" si="1"/>
        <v>161</v>
      </c>
      <c r="L26" s="14">
        <f t="shared" si="2"/>
        <v>1.3305785123966942</v>
      </c>
      <c r="M26" s="14">
        <f t="shared" si="3"/>
        <v>1.3305785123966942</v>
      </c>
      <c r="N26" s="6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 t="s">
        <v>217</v>
      </c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</row>
    <row r="27" spans="1:138">
      <c r="A27" s="8" t="s">
        <v>5</v>
      </c>
      <c r="B27" s="8" t="s">
        <v>183</v>
      </c>
      <c r="C27" s="13">
        <v>43346</v>
      </c>
      <c r="D27" s="13">
        <v>43434</v>
      </c>
      <c r="E27" s="14">
        <v>1</v>
      </c>
      <c r="F27" s="13">
        <v>43348</v>
      </c>
      <c r="G27" s="13">
        <v>43511</v>
      </c>
      <c r="H27" s="8">
        <v>1</v>
      </c>
      <c r="I27" s="8">
        <v>118</v>
      </c>
      <c r="J27" s="15">
        <f t="shared" si="0"/>
        <v>65</v>
      </c>
      <c r="K27" s="15">
        <f t="shared" si="1"/>
        <v>118</v>
      </c>
      <c r="L27" s="14">
        <f t="shared" si="2"/>
        <v>1.8153846153846154</v>
      </c>
      <c r="M27" s="14">
        <f t="shared" si="3"/>
        <v>1.8153846153846154</v>
      </c>
      <c r="N27" s="6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 t="s">
        <v>218</v>
      </c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</row>
    <row r="28" spans="1:138">
      <c r="A28" s="8" t="s">
        <v>10</v>
      </c>
      <c r="B28" s="8" t="s">
        <v>200</v>
      </c>
      <c r="C28" s="13">
        <v>43472</v>
      </c>
      <c r="D28" s="13">
        <v>43546</v>
      </c>
      <c r="E28" s="14">
        <v>0.8</v>
      </c>
      <c r="F28" s="13">
        <v>43472</v>
      </c>
      <c r="G28" s="13">
        <v>43546</v>
      </c>
      <c r="H28" s="8">
        <v>2</v>
      </c>
      <c r="I28" s="8">
        <v>32.299999999999997</v>
      </c>
      <c r="J28" s="15">
        <f t="shared" si="0"/>
        <v>55</v>
      </c>
      <c r="K28" s="15">
        <f t="shared" si="1"/>
        <v>55</v>
      </c>
      <c r="L28" s="14">
        <f t="shared" si="2"/>
        <v>1</v>
      </c>
      <c r="M28" s="14">
        <f t="shared" si="3"/>
        <v>0.73409090909090902</v>
      </c>
      <c r="N28" s="6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 t="s">
        <v>219</v>
      </c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</row>
    <row r="29" spans="1:138">
      <c r="A29" s="8" t="s">
        <v>10</v>
      </c>
      <c r="B29" s="8" t="s">
        <v>183</v>
      </c>
      <c r="C29" s="13">
        <v>43507</v>
      </c>
      <c r="D29" s="13">
        <v>43546</v>
      </c>
      <c r="E29" s="14">
        <v>0.6</v>
      </c>
      <c r="F29" s="13">
        <v>43507</v>
      </c>
      <c r="G29" s="13">
        <v>43546</v>
      </c>
      <c r="H29" s="8">
        <v>1</v>
      </c>
      <c r="I29" s="8">
        <v>14.6</v>
      </c>
      <c r="J29" s="15">
        <f t="shared" si="0"/>
        <v>30</v>
      </c>
      <c r="K29" s="15">
        <f t="shared" si="1"/>
        <v>30</v>
      </c>
      <c r="L29" s="14">
        <f t="shared" si="2"/>
        <v>1</v>
      </c>
      <c r="M29" s="14">
        <f t="shared" si="3"/>
        <v>0.81111111111111112</v>
      </c>
      <c r="N29" s="6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 t="s">
        <v>220</v>
      </c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</row>
    <row r="30" spans="1:138">
      <c r="A30" s="8" t="s">
        <v>10</v>
      </c>
      <c r="B30" s="8" t="s">
        <v>199</v>
      </c>
      <c r="C30" s="13">
        <v>43472</v>
      </c>
      <c r="D30" s="13">
        <v>43539</v>
      </c>
      <c r="E30" s="14">
        <v>1</v>
      </c>
      <c r="F30" s="13">
        <v>43472</v>
      </c>
      <c r="G30" s="13">
        <v>43539</v>
      </c>
      <c r="H30" s="8">
        <v>1</v>
      </c>
      <c r="I30" s="8">
        <v>50</v>
      </c>
      <c r="J30" s="15">
        <f t="shared" si="0"/>
        <v>50</v>
      </c>
      <c r="K30" s="15">
        <f t="shared" si="1"/>
        <v>50</v>
      </c>
      <c r="L30" s="14">
        <f t="shared" si="2"/>
        <v>1</v>
      </c>
      <c r="M30" s="14">
        <f t="shared" si="3"/>
        <v>1</v>
      </c>
      <c r="N30" s="6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 t="s">
        <v>221</v>
      </c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</row>
    <row r="31" spans="1:138">
      <c r="A31" s="8" t="s">
        <v>1</v>
      </c>
      <c r="B31" s="8" t="s">
        <v>183</v>
      </c>
      <c r="C31" s="13">
        <v>43191</v>
      </c>
      <c r="D31" s="13">
        <v>43434</v>
      </c>
      <c r="E31" s="14">
        <v>1</v>
      </c>
      <c r="F31" s="13">
        <v>43228</v>
      </c>
      <c r="G31" s="13">
        <v>43518</v>
      </c>
      <c r="H31" s="8">
        <v>1</v>
      </c>
      <c r="I31" s="8">
        <v>209</v>
      </c>
      <c r="J31" s="15">
        <f t="shared" si="0"/>
        <v>175</v>
      </c>
      <c r="K31" s="15">
        <f t="shared" si="1"/>
        <v>209</v>
      </c>
      <c r="L31" s="14">
        <f t="shared" si="2"/>
        <v>1.1942857142857144</v>
      </c>
      <c r="M31" s="14">
        <f t="shared" si="3"/>
        <v>1.1942857142857144</v>
      </c>
      <c r="N31" s="6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 t="s">
        <v>191</v>
      </c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</row>
    <row r="32" spans="1:138">
      <c r="A32" s="8" t="s">
        <v>1</v>
      </c>
      <c r="B32" s="8" t="s">
        <v>202</v>
      </c>
      <c r="C32" s="13">
        <v>43191</v>
      </c>
      <c r="D32" s="13">
        <v>43434</v>
      </c>
      <c r="E32" s="14">
        <v>1</v>
      </c>
      <c r="F32" s="13">
        <v>43228</v>
      </c>
      <c r="G32" s="13">
        <v>43518</v>
      </c>
      <c r="H32" s="8">
        <v>1</v>
      </c>
      <c r="I32" s="8">
        <v>209</v>
      </c>
      <c r="J32" s="15">
        <f t="shared" si="0"/>
        <v>175</v>
      </c>
      <c r="K32" s="15">
        <f t="shared" si="1"/>
        <v>209</v>
      </c>
      <c r="L32" s="14">
        <f t="shared" si="2"/>
        <v>1.1942857142857144</v>
      </c>
      <c r="M32" s="14">
        <f t="shared" si="3"/>
        <v>1.1942857142857144</v>
      </c>
      <c r="N32" s="6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 t="s">
        <v>222</v>
      </c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</row>
    <row r="33" spans="1:139">
      <c r="A33" s="8" t="s">
        <v>11</v>
      </c>
      <c r="B33" s="8" t="s">
        <v>200</v>
      </c>
      <c r="C33" s="13">
        <v>43398</v>
      </c>
      <c r="D33" s="13">
        <v>43455</v>
      </c>
      <c r="E33" s="14">
        <v>1</v>
      </c>
      <c r="F33" s="13">
        <v>43398</v>
      </c>
      <c r="G33" s="13">
        <v>43469</v>
      </c>
      <c r="H33" s="8">
        <v>1</v>
      </c>
      <c r="I33" s="8">
        <v>52</v>
      </c>
      <c r="J33" s="15">
        <f t="shared" si="0"/>
        <v>42</v>
      </c>
      <c r="K33" s="15">
        <f t="shared" si="1"/>
        <v>52</v>
      </c>
      <c r="L33" s="14">
        <f t="shared" si="2"/>
        <v>1.2380952380952381</v>
      </c>
      <c r="M33" s="14">
        <f t="shared" si="3"/>
        <v>1.2380952380952381</v>
      </c>
      <c r="N33" s="6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 t="s">
        <v>223</v>
      </c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</row>
    <row r="34" spans="1:139">
      <c r="A34" s="8" t="s">
        <v>11</v>
      </c>
      <c r="B34" s="8" t="s">
        <v>198</v>
      </c>
      <c r="C34" s="13">
        <v>43398</v>
      </c>
      <c r="D34" s="13">
        <v>43455</v>
      </c>
      <c r="E34" s="14">
        <v>1</v>
      </c>
      <c r="F34" s="13">
        <v>43398</v>
      </c>
      <c r="G34" s="13">
        <v>43469</v>
      </c>
      <c r="H34" s="8">
        <v>1</v>
      </c>
      <c r="I34" s="8">
        <v>52</v>
      </c>
      <c r="J34" s="15">
        <f t="shared" si="0"/>
        <v>42</v>
      </c>
      <c r="K34" s="15">
        <f t="shared" si="1"/>
        <v>52</v>
      </c>
      <c r="L34" s="14">
        <f t="shared" si="2"/>
        <v>1.2380952380952381</v>
      </c>
      <c r="M34" s="14">
        <f t="shared" si="3"/>
        <v>1.2380952380952381</v>
      </c>
      <c r="N34" s="6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 t="s">
        <v>224</v>
      </c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</row>
    <row r="35" spans="1:139">
      <c r="A35" s="8" t="s">
        <v>2</v>
      </c>
      <c r="B35" s="8" t="s">
        <v>203</v>
      </c>
      <c r="C35" s="13">
        <v>43535</v>
      </c>
      <c r="D35" s="13">
        <v>43871</v>
      </c>
      <c r="E35" s="14">
        <v>1</v>
      </c>
      <c r="F35" s="13">
        <v>43536</v>
      </c>
      <c r="G35" s="13">
        <v>43871</v>
      </c>
      <c r="H35" s="8">
        <v>6</v>
      </c>
      <c r="I35" s="8">
        <v>182.5</v>
      </c>
      <c r="J35" s="15">
        <f t="shared" si="0"/>
        <v>241</v>
      </c>
      <c r="K35" s="15">
        <f t="shared" si="1"/>
        <v>240</v>
      </c>
      <c r="L35" s="14">
        <f t="shared" si="2"/>
        <v>0.99585062240663902</v>
      </c>
      <c r="M35" s="14">
        <f t="shared" si="3"/>
        <v>0.75726141078838172</v>
      </c>
      <c r="N35" s="6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8" t="s">
        <v>225</v>
      </c>
    </row>
    <row r="36" spans="1:139">
      <c r="A36" s="8" t="s">
        <v>2</v>
      </c>
      <c r="B36" s="8" t="s">
        <v>199</v>
      </c>
      <c r="C36" s="13">
        <v>43535</v>
      </c>
      <c r="D36" s="13">
        <v>43871</v>
      </c>
      <c r="E36" s="14">
        <v>1</v>
      </c>
      <c r="F36" s="13">
        <v>43536</v>
      </c>
      <c r="G36" s="13">
        <v>43871</v>
      </c>
      <c r="H36" s="8">
        <v>1</v>
      </c>
      <c r="I36" s="8">
        <v>240</v>
      </c>
      <c r="J36" s="15">
        <f t="shared" si="0"/>
        <v>241</v>
      </c>
      <c r="K36" s="15">
        <f t="shared" si="1"/>
        <v>240</v>
      </c>
      <c r="L36" s="14">
        <f t="shared" si="2"/>
        <v>0.99585062240663902</v>
      </c>
      <c r="M36" s="14">
        <f t="shared" si="3"/>
        <v>0.99585062240663902</v>
      </c>
      <c r="N36" s="6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8" t="s">
        <v>226</v>
      </c>
    </row>
    <row r="37" spans="1:139">
      <c r="A37" s="8" t="s">
        <v>2</v>
      </c>
      <c r="B37" s="8" t="s">
        <v>204</v>
      </c>
      <c r="C37" s="13">
        <v>43549</v>
      </c>
      <c r="D37" s="13">
        <v>43809</v>
      </c>
      <c r="E37" s="14">
        <v>1</v>
      </c>
      <c r="F37" s="13">
        <v>43536</v>
      </c>
      <c r="G37" s="13">
        <v>43809</v>
      </c>
      <c r="H37" s="8">
        <v>1</v>
      </c>
      <c r="I37" s="8">
        <v>196</v>
      </c>
      <c r="J37" s="15">
        <f t="shared" si="0"/>
        <v>187</v>
      </c>
      <c r="K37" s="15">
        <f t="shared" si="1"/>
        <v>196</v>
      </c>
      <c r="L37" s="14">
        <f t="shared" si="2"/>
        <v>1.0481283422459893</v>
      </c>
      <c r="M37" s="14">
        <f t="shared" si="3"/>
        <v>1.0481283422459893</v>
      </c>
      <c r="N37" s="6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 t="s">
        <v>227</v>
      </c>
      <c r="EA37" s="11"/>
      <c r="EB37" s="11"/>
      <c r="EC37" s="11"/>
      <c r="ED37" s="11"/>
      <c r="EE37" s="11"/>
      <c r="EF37" s="11"/>
      <c r="EG37" s="11"/>
      <c r="EH37" s="11"/>
    </row>
    <row r="38" spans="1:139">
      <c r="A38" s="8" t="s">
        <v>2</v>
      </c>
      <c r="B38" s="8" t="s">
        <v>183</v>
      </c>
      <c r="C38" s="13">
        <v>43549</v>
      </c>
      <c r="D38" s="13">
        <v>43871</v>
      </c>
      <c r="E38" s="14">
        <v>1</v>
      </c>
      <c r="F38" s="13">
        <v>43556</v>
      </c>
      <c r="G38" s="13">
        <v>43871</v>
      </c>
      <c r="H38" s="8">
        <v>1</v>
      </c>
      <c r="I38" s="8">
        <v>226</v>
      </c>
      <c r="J38" s="15">
        <f t="shared" si="0"/>
        <v>231</v>
      </c>
      <c r="K38" s="15">
        <f t="shared" si="1"/>
        <v>226</v>
      </c>
      <c r="L38" s="14">
        <f t="shared" si="2"/>
        <v>0.97835497835497831</v>
      </c>
      <c r="M38" s="14">
        <f t="shared" si="3"/>
        <v>0.97835497835497831</v>
      </c>
      <c r="N38" s="6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8" t="s">
        <v>228</v>
      </c>
    </row>
    <row r="39" spans="1:139">
      <c r="A39" s="8" t="s">
        <v>2</v>
      </c>
      <c r="B39" s="8" t="s">
        <v>197</v>
      </c>
      <c r="C39" s="13">
        <v>43535</v>
      </c>
      <c r="D39" s="13">
        <v>43840</v>
      </c>
      <c r="E39" s="14">
        <v>1</v>
      </c>
      <c r="F39" s="13">
        <v>43536</v>
      </c>
      <c r="G39" s="13">
        <v>43840</v>
      </c>
      <c r="H39" s="8">
        <v>1</v>
      </c>
      <c r="I39" s="8">
        <v>219</v>
      </c>
      <c r="J39" s="15">
        <f t="shared" si="0"/>
        <v>220</v>
      </c>
      <c r="K39" s="15">
        <f t="shared" si="1"/>
        <v>219</v>
      </c>
      <c r="L39" s="14">
        <f t="shared" si="2"/>
        <v>0.99545454545454548</v>
      </c>
      <c r="M39" s="14">
        <f t="shared" si="3"/>
        <v>0.99545454545454548</v>
      </c>
      <c r="N39" s="6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 t="s">
        <v>229</v>
      </c>
      <c r="EE39" s="11"/>
      <c r="EF39" s="11"/>
      <c r="EG39" s="11"/>
      <c r="EH39" s="11"/>
    </row>
    <row r="40" spans="1:139">
      <c r="A40" s="8" t="s">
        <v>2</v>
      </c>
      <c r="B40" s="8" t="s">
        <v>196</v>
      </c>
      <c r="C40" s="13">
        <v>43535</v>
      </c>
      <c r="D40" s="13">
        <v>43595</v>
      </c>
      <c r="E40" s="14">
        <v>1</v>
      </c>
      <c r="F40" s="13">
        <v>43536</v>
      </c>
      <c r="G40" s="13">
        <v>43595</v>
      </c>
      <c r="H40" s="8">
        <v>1</v>
      </c>
      <c r="I40" s="8">
        <v>44</v>
      </c>
      <c r="J40" s="15">
        <f t="shared" si="0"/>
        <v>45</v>
      </c>
      <c r="K40" s="15">
        <f t="shared" si="1"/>
        <v>44</v>
      </c>
      <c r="L40" s="14">
        <f t="shared" si="2"/>
        <v>0.97777777777777775</v>
      </c>
      <c r="M40" s="14">
        <f t="shared" si="3"/>
        <v>0.97777777777777775</v>
      </c>
      <c r="N40" s="6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 t="s">
        <v>230</v>
      </c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</row>
    <row r="41" spans="1:139">
      <c r="A41" s="8" t="s">
        <v>2</v>
      </c>
      <c r="B41" s="8" t="s">
        <v>183</v>
      </c>
      <c r="C41" s="13">
        <v>43535</v>
      </c>
      <c r="D41" s="13">
        <v>43779</v>
      </c>
      <c r="E41" s="14">
        <v>1</v>
      </c>
      <c r="F41" s="13">
        <v>43542</v>
      </c>
      <c r="G41" s="13">
        <v>43777</v>
      </c>
      <c r="H41" s="8">
        <v>1</v>
      </c>
      <c r="I41" s="8">
        <v>170</v>
      </c>
      <c r="J41" s="15">
        <f t="shared" si="0"/>
        <v>175</v>
      </c>
      <c r="K41" s="15">
        <f t="shared" si="1"/>
        <v>170</v>
      </c>
      <c r="L41" s="14">
        <f t="shared" si="2"/>
        <v>0.97142857142857142</v>
      </c>
      <c r="M41" s="14">
        <f t="shared" si="3"/>
        <v>0.97142857142857142</v>
      </c>
      <c r="N41" s="6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 t="s">
        <v>231</v>
      </c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</row>
    <row r="42" spans="1:139">
      <c r="A42" s="8" t="s">
        <v>3</v>
      </c>
      <c r="B42" s="8" t="s">
        <v>195</v>
      </c>
      <c r="C42" s="13">
        <v>43199</v>
      </c>
      <c r="D42" s="13">
        <v>43473</v>
      </c>
      <c r="E42" s="14">
        <v>1</v>
      </c>
      <c r="F42" s="13">
        <v>43199</v>
      </c>
      <c r="G42" s="13">
        <v>43518</v>
      </c>
      <c r="H42" s="8">
        <v>2</v>
      </c>
      <c r="I42" s="8">
        <v>198.5</v>
      </c>
      <c r="J42" s="15">
        <f t="shared" si="0"/>
        <v>197</v>
      </c>
      <c r="K42" s="15">
        <f t="shared" si="1"/>
        <v>230</v>
      </c>
      <c r="L42" s="14">
        <f t="shared" si="2"/>
        <v>1.1675126903553299</v>
      </c>
      <c r="M42" s="14">
        <f t="shared" si="3"/>
        <v>1.0076142131979695</v>
      </c>
      <c r="N42" s="6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 t="s">
        <v>232</v>
      </c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</row>
    <row r="43" spans="1:139">
      <c r="A43" s="8" t="s">
        <v>3</v>
      </c>
      <c r="B43" s="8" t="s">
        <v>199</v>
      </c>
      <c r="C43" s="13">
        <v>43199</v>
      </c>
      <c r="D43" s="13">
        <v>43473</v>
      </c>
      <c r="E43" s="14">
        <v>1</v>
      </c>
      <c r="F43" s="13">
        <v>43199</v>
      </c>
      <c r="G43" s="13">
        <v>43518</v>
      </c>
      <c r="H43" s="8">
        <v>1</v>
      </c>
      <c r="I43" s="8">
        <v>230</v>
      </c>
      <c r="J43" s="15">
        <f t="shared" si="0"/>
        <v>197</v>
      </c>
      <c r="K43" s="15">
        <f t="shared" si="1"/>
        <v>230</v>
      </c>
      <c r="L43" s="14">
        <f t="shared" si="2"/>
        <v>1.1675126903553299</v>
      </c>
      <c r="M43" s="14">
        <f t="shared" si="3"/>
        <v>1.1675126903553299</v>
      </c>
      <c r="N43" s="6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 t="s">
        <v>233</v>
      </c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</row>
    <row r="44" spans="1:139">
      <c r="A44" s="8" t="s">
        <v>3</v>
      </c>
      <c r="B44" s="8" t="s">
        <v>196</v>
      </c>
      <c r="C44" s="13">
        <v>43229</v>
      </c>
      <c r="D44" s="13">
        <v>43442</v>
      </c>
      <c r="E44" s="14">
        <v>1</v>
      </c>
      <c r="F44" s="13">
        <v>43248</v>
      </c>
      <c r="G44" s="13">
        <v>43480</v>
      </c>
      <c r="H44" s="8">
        <v>1</v>
      </c>
      <c r="I44" s="8">
        <v>167</v>
      </c>
      <c r="J44" s="15">
        <f t="shared" si="0"/>
        <v>153</v>
      </c>
      <c r="K44" s="15">
        <f t="shared" si="1"/>
        <v>167</v>
      </c>
      <c r="L44" s="14">
        <f t="shared" si="2"/>
        <v>1.0915032679738561</v>
      </c>
      <c r="M44" s="14">
        <f t="shared" si="3"/>
        <v>1.0915032679738561</v>
      </c>
      <c r="N44" s="6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 t="s">
        <v>234</v>
      </c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</row>
    <row r="45" spans="1:139">
      <c r="A45" s="8" t="s">
        <v>4</v>
      </c>
      <c r="B45" s="8" t="s">
        <v>199</v>
      </c>
      <c r="C45" s="13">
        <v>43472</v>
      </c>
      <c r="D45" s="13">
        <v>43714</v>
      </c>
      <c r="E45" s="14">
        <v>1</v>
      </c>
      <c r="F45" s="13">
        <v>43472</v>
      </c>
      <c r="G45" s="13">
        <v>43735</v>
      </c>
      <c r="H45" s="8">
        <v>4</v>
      </c>
      <c r="I45" s="8">
        <v>125</v>
      </c>
      <c r="J45" s="15">
        <f t="shared" si="0"/>
        <v>175</v>
      </c>
      <c r="K45" s="15">
        <f t="shared" si="1"/>
        <v>190</v>
      </c>
      <c r="L45" s="14">
        <f t="shared" si="2"/>
        <v>1.0857142857142856</v>
      </c>
      <c r="M45" s="14">
        <f t="shared" si="3"/>
        <v>0.7142857142857143</v>
      </c>
      <c r="N45" s="6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 t="s">
        <v>235</v>
      </c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</row>
    <row r="46" spans="1:139">
      <c r="A46" s="8" t="s">
        <v>4</v>
      </c>
      <c r="B46" s="8" t="s">
        <v>183</v>
      </c>
      <c r="C46" s="13">
        <v>43472</v>
      </c>
      <c r="D46" s="13">
        <v>43714</v>
      </c>
      <c r="E46" s="14">
        <v>1</v>
      </c>
      <c r="F46" s="13">
        <v>43472</v>
      </c>
      <c r="G46" s="13">
        <v>43735</v>
      </c>
      <c r="H46" s="8">
        <v>1</v>
      </c>
      <c r="I46" s="8">
        <v>190</v>
      </c>
      <c r="J46" s="15">
        <f t="shared" si="0"/>
        <v>175</v>
      </c>
      <c r="K46" s="15">
        <f t="shared" si="1"/>
        <v>190</v>
      </c>
      <c r="L46" s="14">
        <f t="shared" si="2"/>
        <v>1.0857142857142856</v>
      </c>
      <c r="M46" s="14">
        <f t="shared" si="3"/>
        <v>1.0857142857142856</v>
      </c>
      <c r="N46" s="6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 t="s">
        <v>236</v>
      </c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</row>
    <row r="47" spans="1:139">
      <c r="A47" s="8" t="s">
        <v>4</v>
      </c>
      <c r="B47" s="8" t="s">
        <v>200</v>
      </c>
      <c r="C47" s="13">
        <v>43472</v>
      </c>
      <c r="D47" s="13">
        <v>43532</v>
      </c>
      <c r="E47" s="14">
        <v>1</v>
      </c>
      <c r="F47" s="13">
        <v>43472</v>
      </c>
      <c r="G47" s="13">
        <v>43532</v>
      </c>
      <c r="H47" s="8">
        <v>1</v>
      </c>
      <c r="I47" s="8">
        <v>45</v>
      </c>
      <c r="J47" s="15">
        <f t="shared" si="0"/>
        <v>45</v>
      </c>
      <c r="K47" s="15">
        <f t="shared" si="1"/>
        <v>45</v>
      </c>
      <c r="L47" s="14">
        <f t="shared" si="2"/>
        <v>1</v>
      </c>
      <c r="M47" s="14">
        <f t="shared" si="3"/>
        <v>1</v>
      </c>
      <c r="N47" s="6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 t="s">
        <v>237</v>
      </c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</row>
    <row r="48" spans="1:139">
      <c r="A48" s="8" t="s">
        <v>4</v>
      </c>
      <c r="B48" s="8" t="s">
        <v>201</v>
      </c>
      <c r="C48" s="13">
        <v>43514</v>
      </c>
      <c r="D48" s="13">
        <v>43665</v>
      </c>
      <c r="E48" s="14">
        <v>1</v>
      </c>
      <c r="F48" s="13">
        <v>43514</v>
      </c>
      <c r="G48" s="13">
        <v>43735</v>
      </c>
      <c r="H48" s="8">
        <v>1</v>
      </c>
      <c r="I48" s="8">
        <v>160</v>
      </c>
      <c r="J48" s="15">
        <f t="shared" si="0"/>
        <v>110</v>
      </c>
      <c r="K48" s="15">
        <f t="shared" si="1"/>
        <v>160</v>
      </c>
      <c r="L48" s="14">
        <f t="shared" si="2"/>
        <v>1.4545454545454546</v>
      </c>
      <c r="M48" s="14">
        <f t="shared" si="3"/>
        <v>1.4545454545454546</v>
      </c>
      <c r="N48" s="6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 t="s">
        <v>238</v>
      </c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</row>
    <row r="49" spans="1:138">
      <c r="A49" s="8" t="s">
        <v>4</v>
      </c>
      <c r="B49" s="8" t="s">
        <v>202</v>
      </c>
      <c r="C49" s="13">
        <v>43472</v>
      </c>
      <c r="D49" s="13">
        <v>43622</v>
      </c>
      <c r="E49" s="14">
        <v>1</v>
      </c>
      <c r="F49" s="13">
        <v>43472</v>
      </c>
      <c r="G49" s="13">
        <v>43616</v>
      </c>
      <c r="H49" s="8">
        <v>1</v>
      </c>
      <c r="I49" s="8">
        <v>105</v>
      </c>
      <c r="J49" s="15">
        <f t="shared" si="0"/>
        <v>109</v>
      </c>
      <c r="K49" s="15">
        <f t="shared" si="1"/>
        <v>105</v>
      </c>
      <c r="L49" s="14">
        <f t="shared" si="2"/>
        <v>0.96330275229357798</v>
      </c>
      <c r="M49" s="14">
        <f t="shared" si="3"/>
        <v>0.96330275229357798</v>
      </c>
      <c r="N49" s="6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 t="s">
        <v>239</v>
      </c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</row>
    <row r="50" spans="1:138">
      <c r="A50" s="8" t="s">
        <v>8</v>
      </c>
      <c r="B50" s="8" t="s">
        <v>183</v>
      </c>
      <c r="C50" s="13">
        <v>43409</v>
      </c>
      <c r="D50" s="13">
        <v>43646</v>
      </c>
      <c r="E50" s="14">
        <v>1</v>
      </c>
      <c r="F50" s="13">
        <v>43349</v>
      </c>
      <c r="G50" s="13">
        <v>43644</v>
      </c>
      <c r="H50" s="8">
        <v>3</v>
      </c>
      <c r="I50" s="8">
        <v>183.67</v>
      </c>
      <c r="J50" s="15">
        <f t="shared" si="0"/>
        <v>170</v>
      </c>
      <c r="K50" s="15">
        <f t="shared" si="1"/>
        <v>212</v>
      </c>
      <c r="L50" s="14">
        <f t="shared" si="2"/>
        <v>1.2470588235294118</v>
      </c>
      <c r="M50" s="14">
        <f t="shared" si="3"/>
        <v>1.0804117647058822</v>
      </c>
      <c r="N50" s="6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 t="s">
        <v>192</v>
      </c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</row>
    <row r="51" spans="1:138">
      <c r="A51" s="8" t="s">
        <v>8</v>
      </c>
      <c r="B51" s="8" t="s">
        <v>203</v>
      </c>
      <c r="C51" s="13">
        <v>43409</v>
      </c>
      <c r="D51" s="13">
        <v>43646</v>
      </c>
      <c r="E51" s="14">
        <v>1</v>
      </c>
      <c r="F51" s="13">
        <v>43405</v>
      </c>
      <c r="G51" s="13">
        <v>43644</v>
      </c>
      <c r="H51" s="8">
        <v>1</v>
      </c>
      <c r="I51" s="8">
        <v>172</v>
      </c>
      <c r="J51" s="15">
        <f t="shared" si="0"/>
        <v>170</v>
      </c>
      <c r="K51" s="15">
        <f t="shared" si="1"/>
        <v>172</v>
      </c>
      <c r="L51" s="14">
        <f t="shared" si="2"/>
        <v>1.0117647058823529</v>
      </c>
      <c r="M51" s="14">
        <f t="shared" si="3"/>
        <v>1.0117647058823529</v>
      </c>
      <c r="N51" s="6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 t="s">
        <v>240</v>
      </c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</row>
    <row r="52" spans="1:138">
      <c r="A52" s="8" t="s">
        <v>8</v>
      </c>
      <c r="B52" s="8" t="s">
        <v>203</v>
      </c>
      <c r="C52" s="13">
        <v>43409</v>
      </c>
      <c r="D52" s="13">
        <v>43646</v>
      </c>
      <c r="E52" s="14">
        <v>1</v>
      </c>
      <c r="F52" s="13">
        <v>43349</v>
      </c>
      <c r="G52" s="13">
        <v>43644</v>
      </c>
      <c r="H52" s="8">
        <v>1</v>
      </c>
      <c r="I52" s="8">
        <v>212</v>
      </c>
      <c r="J52" s="15">
        <f t="shared" si="0"/>
        <v>170</v>
      </c>
      <c r="K52" s="15">
        <f t="shared" si="1"/>
        <v>212</v>
      </c>
      <c r="L52" s="14">
        <f t="shared" si="2"/>
        <v>1.2470588235294118</v>
      </c>
      <c r="M52" s="14">
        <f t="shared" si="3"/>
        <v>1.2470588235294118</v>
      </c>
      <c r="N52" s="6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 t="s">
        <v>241</v>
      </c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</row>
    <row r="53" spans="1:138">
      <c r="A53" s="8" t="s">
        <v>8</v>
      </c>
      <c r="B53" s="8" t="s">
        <v>203</v>
      </c>
      <c r="C53" s="13">
        <v>43409</v>
      </c>
      <c r="D53" s="13">
        <v>43646</v>
      </c>
      <c r="E53" s="14">
        <v>1</v>
      </c>
      <c r="F53" s="13">
        <v>43412</v>
      </c>
      <c r="G53" s="13">
        <v>43644</v>
      </c>
      <c r="H53" s="8">
        <v>1</v>
      </c>
      <c r="I53" s="8">
        <v>167</v>
      </c>
      <c r="J53" s="15">
        <f t="shared" si="0"/>
        <v>170</v>
      </c>
      <c r="K53" s="15">
        <f t="shared" si="1"/>
        <v>167</v>
      </c>
      <c r="L53" s="14">
        <f t="shared" si="2"/>
        <v>0.98235294117647054</v>
      </c>
      <c r="M53" s="14">
        <f t="shared" si="3"/>
        <v>0.98235294117647054</v>
      </c>
      <c r="N53" s="6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 t="s">
        <v>242</v>
      </c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</row>
    <row r="54" spans="1:138">
      <c r="A54" s="8" t="s">
        <v>7</v>
      </c>
      <c r="B54" s="8" t="s">
        <v>203</v>
      </c>
      <c r="C54" s="13">
        <v>43255</v>
      </c>
      <c r="D54" s="13">
        <v>43555</v>
      </c>
      <c r="E54" s="14">
        <v>1</v>
      </c>
      <c r="F54" s="13">
        <v>43255</v>
      </c>
      <c r="G54" s="13">
        <v>43560</v>
      </c>
      <c r="H54" s="8">
        <v>4</v>
      </c>
      <c r="I54" s="8">
        <v>181</v>
      </c>
      <c r="J54" s="15">
        <f t="shared" si="0"/>
        <v>215</v>
      </c>
      <c r="K54" s="15">
        <f t="shared" si="1"/>
        <v>220</v>
      </c>
      <c r="L54" s="14">
        <f t="shared" si="2"/>
        <v>1.0232558139534884</v>
      </c>
      <c r="M54" s="14">
        <f t="shared" si="3"/>
        <v>0.8418604651162791</v>
      </c>
      <c r="N54" s="6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 t="s">
        <v>243</v>
      </c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</row>
    <row r="55" spans="1:138">
      <c r="A55" s="8" t="s">
        <v>7</v>
      </c>
      <c r="B55" s="8" t="s">
        <v>183</v>
      </c>
      <c r="C55" s="13">
        <v>43408</v>
      </c>
      <c r="D55" s="13">
        <v>43555</v>
      </c>
      <c r="E55" s="14">
        <v>1</v>
      </c>
      <c r="F55" s="13">
        <v>43381</v>
      </c>
      <c r="G55" s="13">
        <v>43531</v>
      </c>
      <c r="H55" s="8">
        <v>1</v>
      </c>
      <c r="I55" s="8">
        <v>109</v>
      </c>
      <c r="J55" s="15">
        <f t="shared" si="0"/>
        <v>105</v>
      </c>
      <c r="K55" s="15">
        <f t="shared" si="1"/>
        <v>109</v>
      </c>
      <c r="L55" s="14">
        <f t="shared" si="2"/>
        <v>1.0380952380952382</v>
      </c>
      <c r="M55" s="14">
        <f t="shared" si="3"/>
        <v>1.0380952380952382</v>
      </c>
      <c r="N55" s="6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 t="s">
        <v>244</v>
      </c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</row>
    <row r="56" spans="1:138">
      <c r="A56" s="8" t="s">
        <v>7</v>
      </c>
      <c r="B56" s="8" t="s">
        <v>203</v>
      </c>
      <c r="C56" s="13">
        <v>43255</v>
      </c>
      <c r="D56" s="13">
        <v>43555</v>
      </c>
      <c r="E56" s="14">
        <v>1</v>
      </c>
      <c r="F56" s="13">
        <v>43255</v>
      </c>
      <c r="G56" s="13">
        <v>43560</v>
      </c>
      <c r="H56" s="8">
        <v>1</v>
      </c>
      <c r="I56" s="8">
        <v>220</v>
      </c>
      <c r="J56" s="15">
        <f t="shared" si="0"/>
        <v>215</v>
      </c>
      <c r="K56" s="15">
        <f t="shared" si="1"/>
        <v>220</v>
      </c>
      <c r="L56" s="14">
        <f t="shared" si="2"/>
        <v>1.0232558139534884</v>
      </c>
      <c r="M56" s="14">
        <f t="shared" si="3"/>
        <v>1.0232558139534884</v>
      </c>
      <c r="N56" s="6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 t="s">
        <v>245</v>
      </c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</row>
    <row r="57" spans="1:138">
      <c r="A57" s="8" t="s">
        <v>7</v>
      </c>
      <c r="B57" s="8" t="s">
        <v>203</v>
      </c>
      <c r="C57" s="13">
        <v>43255</v>
      </c>
      <c r="D57" s="13">
        <v>43555</v>
      </c>
      <c r="E57" s="14">
        <v>1</v>
      </c>
      <c r="F57" s="13">
        <v>43255</v>
      </c>
      <c r="G57" s="13">
        <v>43560</v>
      </c>
      <c r="H57" s="8">
        <v>1</v>
      </c>
      <c r="I57" s="8">
        <v>220</v>
      </c>
      <c r="J57" s="15">
        <f t="shared" si="0"/>
        <v>215</v>
      </c>
      <c r="K57" s="15">
        <f t="shared" si="1"/>
        <v>220</v>
      </c>
      <c r="L57" s="14">
        <f t="shared" si="2"/>
        <v>1.0232558139534884</v>
      </c>
      <c r="M57" s="14">
        <f t="shared" si="3"/>
        <v>1.0232558139534884</v>
      </c>
      <c r="N57" s="6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 t="s">
        <v>245</v>
      </c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</row>
    <row r="58" spans="1:138">
      <c r="A58" s="8" t="s">
        <v>7</v>
      </c>
      <c r="B58" s="8" t="s">
        <v>201</v>
      </c>
      <c r="C58" s="13">
        <v>43316</v>
      </c>
      <c r="D58" s="13">
        <v>43555</v>
      </c>
      <c r="E58" s="14">
        <v>1</v>
      </c>
      <c r="F58" s="13">
        <v>43318</v>
      </c>
      <c r="G58" s="13">
        <v>43560</v>
      </c>
      <c r="H58" s="8">
        <v>1</v>
      </c>
      <c r="I58" s="8">
        <v>175</v>
      </c>
      <c r="J58" s="15">
        <f t="shared" si="0"/>
        <v>170</v>
      </c>
      <c r="K58" s="15">
        <f t="shared" si="1"/>
        <v>175</v>
      </c>
      <c r="L58" s="14">
        <f t="shared" si="2"/>
        <v>1.0294117647058822</v>
      </c>
      <c r="M58" s="14">
        <f t="shared" si="3"/>
        <v>1.0294117647058822</v>
      </c>
      <c r="N58" s="6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 t="s">
        <v>246</v>
      </c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</row>
    <row r="59" spans="1:138">
      <c r="A59" s="8" t="s">
        <v>9</v>
      </c>
      <c r="B59" s="8" t="s">
        <v>183</v>
      </c>
      <c r="C59" s="13">
        <v>43563</v>
      </c>
      <c r="D59" s="13">
        <v>43799</v>
      </c>
      <c r="E59" s="14">
        <v>0.33333333333333331</v>
      </c>
      <c r="F59" s="13">
        <v>43563</v>
      </c>
      <c r="G59" s="13">
        <v>43798</v>
      </c>
      <c r="H59" s="8">
        <v>3</v>
      </c>
      <c r="I59" s="8">
        <v>66</v>
      </c>
      <c r="J59" s="15">
        <f t="shared" si="0"/>
        <v>170</v>
      </c>
      <c r="K59" s="15">
        <f t="shared" si="1"/>
        <v>170</v>
      </c>
      <c r="L59" s="14">
        <f t="shared" si="2"/>
        <v>1</v>
      </c>
      <c r="M59" s="14">
        <f t="shared" si="3"/>
        <v>1.1647058823529413</v>
      </c>
      <c r="N59" s="6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 t="s">
        <v>193</v>
      </c>
      <c r="DY59" s="11"/>
      <c r="DZ59" s="11"/>
      <c r="EA59" s="11"/>
      <c r="EB59" s="11"/>
      <c r="EC59" s="11"/>
      <c r="ED59" s="11"/>
      <c r="EE59" s="11"/>
      <c r="EF59" s="11"/>
      <c r="EG59" s="11"/>
      <c r="EH59" s="11"/>
    </row>
    <row r="60" spans="1:138">
      <c r="A60" s="8" t="s">
        <v>9</v>
      </c>
      <c r="B60" s="8" t="s">
        <v>194</v>
      </c>
      <c r="C60" s="13"/>
      <c r="D60" s="13"/>
      <c r="E60" s="14"/>
      <c r="F60" s="13">
        <v>43563</v>
      </c>
      <c r="G60" s="13">
        <v>43585</v>
      </c>
      <c r="H60" s="8">
        <v>1</v>
      </c>
      <c r="I60" s="8">
        <v>17</v>
      </c>
      <c r="J60" s="15">
        <f t="shared" si="0"/>
        <v>0</v>
      </c>
      <c r="K60" s="15">
        <f t="shared" si="1"/>
        <v>17</v>
      </c>
      <c r="L60" s="14" t="str">
        <f t="shared" si="2"/>
        <v/>
      </c>
      <c r="M60" s="14" t="str">
        <f t="shared" si="3"/>
        <v/>
      </c>
      <c r="N60" s="6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</row>
    <row r="61" spans="1:138">
      <c r="A61" s="8" t="s">
        <v>9</v>
      </c>
      <c r="B61" s="8" t="s">
        <v>201</v>
      </c>
      <c r="C61" s="13"/>
      <c r="D61" s="13"/>
      <c r="E61" s="14"/>
      <c r="F61" s="13">
        <v>43563</v>
      </c>
      <c r="G61" s="13">
        <v>43577</v>
      </c>
      <c r="H61" s="8">
        <v>1</v>
      </c>
      <c r="I61" s="8">
        <v>11</v>
      </c>
      <c r="J61" s="15">
        <f t="shared" si="0"/>
        <v>0</v>
      </c>
      <c r="K61" s="15">
        <f t="shared" si="1"/>
        <v>11</v>
      </c>
      <c r="L61" s="14" t="str">
        <f t="shared" si="2"/>
        <v/>
      </c>
      <c r="M61" s="14" t="str">
        <f t="shared" si="3"/>
        <v/>
      </c>
      <c r="N61" s="6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</row>
    <row r="62" spans="1:138">
      <c r="A62" s="8" t="s">
        <v>9</v>
      </c>
      <c r="B62" s="8" t="s">
        <v>201</v>
      </c>
      <c r="C62" s="13">
        <v>43563</v>
      </c>
      <c r="D62" s="13">
        <v>43799</v>
      </c>
      <c r="E62" s="14">
        <v>1</v>
      </c>
      <c r="F62" s="13">
        <v>43563</v>
      </c>
      <c r="G62" s="13">
        <v>43798</v>
      </c>
      <c r="H62" s="8">
        <v>1</v>
      </c>
      <c r="I62" s="8">
        <v>170</v>
      </c>
      <c r="J62" s="15">
        <f t="shared" si="0"/>
        <v>170</v>
      </c>
      <c r="K62" s="15">
        <f t="shared" si="1"/>
        <v>170</v>
      </c>
      <c r="L62" s="14">
        <f t="shared" si="2"/>
        <v>1</v>
      </c>
      <c r="M62" s="14">
        <f t="shared" si="3"/>
        <v>1</v>
      </c>
      <c r="N62" s="6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 t="s">
        <v>211</v>
      </c>
      <c r="DY62" s="11"/>
      <c r="DZ62" s="11"/>
      <c r="EA62" s="11"/>
      <c r="EB62" s="11"/>
      <c r="EC62" s="11"/>
      <c r="ED62" s="11"/>
      <c r="EE62" s="11"/>
      <c r="EF62" s="11"/>
      <c r="EG62" s="11"/>
      <c r="EH62" s="11"/>
    </row>
    <row r="63" spans="1:138">
      <c r="C63" s="13"/>
      <c r="D63" s="13"/>
      <c r="E63" s="14"/>
      <c r="F63" s="13"/>
      <c r="G63" s="13"/>
      <c r="J63" s="15"/>
      <c r="K63" s="15"/>
      <c r="L63" s="14"/>
      <c r="M63" s="14"/>
      <c r="N63" s="6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</row>
    <row r="64" spans="1:138"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</row>
    <row r="65" spans="27:138"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</row>
    <row r="66" spans="27:138"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</row>
    <row r="67" spans="27:138"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</row>
    <row r="68" spans="27:138"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</row>
    <row r="69" spans="27:138"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</row>
    <row r="70" spans="27:138"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</row>
    <row r="71" spans="27:138"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</row>
    <row r="72" spans="27:138"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</row>
    <row r="73" spans="27:138"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</row>
    <row r="74" spans="27:138"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</row>
    <row r="75" spans="27:138"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</row>
  </sheetData>
  <sortState ref="A10:EI58">
    <sortCondition ref="B10:B58"/>
  </sortState>
  <mergeCells count="71">
    <mergeCell ref="A11:A13"/>
    <mergeCell ref="C12:C13"/>
    <mergeCell ref="D12:D13"/>
    <mergeCell ref="F12:F13"/>
    <mergeCell ref="E12:E13"/>
    <mergeCell ref="C11:E11"/>
    <mergeCell ref="F11:G11"/>
    <mergeCell ref="B12:B13"/>
    <mergeCell ref="AI11:AL11"/>
    <mergeCell ref="AI12:AL12"/>
    <mergeCell ref="AA11:AD11"/>
    <mergeCell ref="AA12:AD12"/>
    <mergeCell ref="AE11:AH11"/>
    <mergeCell ref="AE12:AH12"/>
    <mergeCell ref="L11:L13"/>
    <mergeCell ref="M11:M13"/>
    <mergeCell ref="G12:G13"/>
    <mergeCell ref="J11:J13"/>
    <mergeCell ref="K11:K13"/>
    <mergeCell ref="AM12:AP12"/>
    <mergeCell ref="AQ11:AT11"/>
    <mergeCell ref="AQ12:AT12"/>
    <mergeCell ref="AU11:AX11"/>
    <mergeCell ref="AU12:AX12"/>
    <mergeCell ref="AM11:AP11"/>
    <mergeCell ref="AY11:BB11"/>
    <mergeCell ref="AY12:BB12"/>
    <mergeCell ref="BC11:BF11"/>
    <mergeCell ref="BC12:BF12"/>
    <mergeCell ref="BG11:BJ11"/>
    <mergeCell ref="BG12:BJ12"/>
    <mergeCell ref="BW11:BZ11"/>
    <mergeCell ref="BW12:BZ12"/>
    <mergeCell ref="BK11:BN11"/>
    <mergeCell ref="BK12:BN12"/>
    <mergeCell ref="BO11:BR11"/>
    <mergeCell ref="BO12:BR12"/>
    <mergeCell ref="BS11:BV11"/>
    <mergeCell ref="BS12:BV12"/>
    <mergeCell ref="CU11:CX11"/>
    <mergeCell ref="CU12:CX12"/>
    <mergeCell ref="CI11:CL11"/>
    <mergeCell ref="CI12:CL12"/>
    <mergeCell ref="CM11:CP11"/>
    <mergeCell ref="CM12:CP12"/>
    <mergeCell ref="CQ11:CT11"/>
    <mergeCell ref="CQ12:CT12"/>
    <mergeCell ref="EA11:ED11"/>
    <mergeCell ref="EA12:ED12"/>
    <mergeCell ref="DG11:DJ11"/>
    <mergeCell ref="DG12:DJ12"/>
    <mergeCell ref="DK11:DN11"/>
    <mergeCell ref="DK12:DN12"/>
    <mergeCell ref="DO11:DR11"/>
    <mergeCell ref="DO12:DR12"/>
    <mergeCell ref="EE11:EH11"/>
    <mergeCell ref="EE12:EH12"/>
    <mergeCell ref="DC11:DF11"/>
    <mergeCell ref="DC12:DF12"/>
    <mergeCell ref="H11:H13"/>
    <mergeCell ref="I11:I13"/>
    <mergeCell ref="CY11:DB11"/>
    <mergeCell ref="CY12:DB12"/>
    <mergeCell ref="CA11:CD11"/>
    <mergeCell ref="CA12:CD12"/>
    <mergeCell ref="CE11:CH11"/>
    <mergeCell ref="CE12:CH12"/>
    <mergeCell ref="DS11:DV11"/>
    <mergeCell ref="DS12:DV12"/>
    <mergeCell ref="DW11:DZ11"/>
    <mergeCell ref="DW12:DZ1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 filterMode="1"/>
  <dimension ref="A2:I21"/>
  <sheetViews>
    <sheetView workbookViewId="0">
      <selection activeCell="H11" sqref="H11"/>
    </sheetView>
  </sheetViews>
  <sheetFormatPr defaultRowHeight="16.5"/>
  <cols>
    <col min="7" max="8" width="11.125" bestFit="1" customWidth="1"/>
  </cols>
  <sheetData>
    <row r="2" spans="1:9">
      <c r="A2" t="s">
        <v>120</v>
      </c>
      <c r="B2">
        <f>C2+D2</f>
        <v>2</v>
      </c>
      <c r="C2">
        <v>1</v>
      </c>
      <c r="D2">
        <v>1</v>
      </c>
      <c r="G2" s="6">
        <v>36892</v>
      </c>
      <c r="H2" s="6">
        <v>37256</v>
      </c>
      <c r="I2">
        <f>H2-G2+1</f>
        <v>365</v>
      </c>
    </row>
    <row r="3" spans="1:9">
      <c r="A3" t="s">
        <v>120</v>
      </c>
      <c r="B3">
        <f>C3+D3</f>
        <v>5</v>
      </c>
      <c r="C3">
        <v>2</v>
      </c>
      <c r="D3">
        <v>3</v>
      </c>
      <c r="H3" s="6">
        <v>36923</v>
      </c>
      <c r="I3">
        <f>H3-G2</f>
        <v>31</v>
      </c>
    </row>
    <row r="4" spans="1:9">
      <c r="A4" t="s">
        <v>120</v>
      </c>
    </row>
    <row r="5" spans="1:9">
      <c r="A5" t="s">
        <v>120</v>
      </c>
    </row>
    <row r="8" spans="1:9">
      <c r="C8" t="s">
        <v>121</v>
      </c>
      <c r="D8" t="s">
        <v>122</v>
      </c>
      <c r="E8" t="s">
        <v>123</v>
      </c>
      <c r="F8" t="s">
        <v>124</v>
      </c>
    </row>
    <row r="9" spans="1:9" hidden="1">
      <c r="C9">
        <v>1</v>
      </c>
      <c r="D9">
        <v>2</v>
      </c>
      <c r="E9">
        <v>3</v>
      </c>
      <c r="F9">
        <v>4</v>
      </c>
    </row>
    <row r="10" spans="1:9">
      <c r="C10">
        <v>1</v>
      </c>
      <c r="D10">
        <v>3</v>
      </c>
      <c r="E10">
        <v>2</v>
      </c>
      <c r="F10">
        <v>4</v>
      </c>
    </row>
    <row r="11" spans="1:9">
      <c r="C11">
        <v>2</v>
      </c>
      <c r="D11">
        <v>3</v>
      </c>
      <c r="E11">
        <v>4</v>
      </c>
      <c r="F11">
        <v>3</v>
      </c>
    </row>
    <row r="15" spans="1:9">
      <c r="D15">
        <v>1</v>
      </c>
      <c r="E15">
        <v>3</v>
      </c>
      <c r="F15">
        <v>2</v>
      </c>
      <c r="G15">
        <v>4</v>
      </c>
    </row>
    <row r="16" spans="1:9">
      <c r="D16">
        <v>2</v>
      </c>
      <c r="E16">
        <v>3</v>
      </c>
      <c r="F16">
        <v>4</v>
      </c>
      <c r="G16">
        <v>3</v>
      </c>
    </row>
    <row r="21" spans="4:4">
      <c r="D21" s="7"/>
    </row>
  </sheetData>
  <autoFilter ref="C8:F11">
    <filterColumn colId="1">
      <filters>
        <filter val="3"/>
      </filters>
    </filterColumn>
  </autoFilter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3"/>
  <dimension ref="AA9"/>
  <sheetViews>
    <sheetView topLeftCell="O1" workbookViewId="0">
      <selection activeCell="AA9" sqref="AA9"/>
    </sheetView>
  </sheetViews>
  <sheetFormatPr defaultRowHeight="16.5"/>
  <sheetData>
    <row r="9" spans="27:27">
      <c r="AA9">
        <v>1</v>
      </c>
    </row>
  </sheetData>
  <phoneticPr fontId="1" type="noConversion"/>
  <pageMargins left="0.7" right="0.7" top="0.75" bottom="0.75" header="0.3" footer="0.3"/>
</worksheet>
</file>

<file path=customUI/customUI.xml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공휴일</vt:lpstr>
      <vt:lpstr>프로젝트별현황</vt:lpstr>
      <vt:lpstr>직원별현황</vt:lpstr>
      <vt:lpstr>Sheet2</vt:lpstr>
      <vt:lpstr>Sheet7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kimdaeho</cp:lastModifiedBy>
  <dcterms:created xsi:type="dcterms:W3CDTF">2021-02-02T02:21:15Z</dcterms:created>
  <dcterms:modified xsi:type="dcterms:W3CDTF">2021-04-02T08:40:49Z</dcterms:modified>
</cp:coreProperties>
</file>