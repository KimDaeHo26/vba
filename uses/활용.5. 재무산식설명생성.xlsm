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60" yWindow="45" windowWidth="28035" windowHeight="12555" activeTab="1"/>
  </bookViews>
  <sheets>
    <sheet name="계정" sheetId="1" r:id="rId1"/>
    <sheet name="산식" sheetId="2" r:id="rId2"/>
  </sheets>
  <functionGroups/>
  <calcPr calcId="125725"/>
</workbook>
</file>

<file path=xl/calcChain.xml><?xml version="1.0" encoding="utf-8"?>
<calcChain xmlns="http://schemas.openxmlformats.org/spreadsheetml/2006/main">
  <c r="A3" i="1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"/>
</calcChain>
</file>

<file path=xl/sharedStrings.xml><?xml version="1.0" encoding="utf-8"?>
<sst xmlns="http://schemas.openxmlformats.org/spreadsheetml/2006/main" count="50" uniqueCount="44">
  <si>
    <t>유동자산(계)</t>
  </si>
  <si>
    <t>당좌자산(계)</t>
  </si>
  <si>
    <t>(당좌자산대손충당금(계))</t>
  </si>
  <si>
    <t>현금및현금등가물</t>
  </si>
  <si>
    <t>(국고보조금)</t>
  </si>
  <si>
    <t>현금</t>
  </si>
  <si>
    <t>[외화현금]</t>
  </si>
  <si>
    <t>예금</t>
  </si>
  <si>
    <t>[외화예금]</t>
  </si>
  <si>
    <t>당좌예금</t>
  </si>
  <si>
    <t>단자예치금</t>
  </si>
  <si>
    <t>기타예금</t>
  </si>
  <si>
    <t>기타현금등가물</t>
  </si>
  <si>
    <t>단기금융상품</t>
  </si>
  <si>
    <t>[사용제한단기금융상품]</t>
  </si>
  <si>
    <t>[외화단기금융상품]</t>
  </si>
  <si>
    <t>정기적금</t>
  </si>
  <si>
    <t>별단예금</t>
  </si>
  <si>
    <t>기타단기금융상품</t>
  </si>
  <si>
    <t>단기투자증권</t>
  </si>
  <si>
    <t>(단기투자증권평가충당금)</t>
  </si>
  <si>
    <t>(단기투자증권공정가액조정)</t>
  </si>
  <si>
    <t>보고서</t>
    <phoneticPr fontId="2" type="noConversion"/>
  </si>
  <si>
    <t>계정</t>
    <phoneticPr fontId="2" type="noConversion"/>
  </si>
  <si>
    <t>계정명</t>
    <phoneticPr fontId="2" type="noConversion"/>
  </si>
  <si>
    <t>계정코드</t>
    <phoneticPr fontId="2" type="noConversion"/>
  </si>
  <si>
    <t>비율1</t>
    <phoneticPr fontId="2" type="noConversion"/>
  </si>
  <si>
    <t>비율2</t>
    <phoneticPr fontId="2" type="noConversion"/>
  </si>
  <si>
    <t>비율3</t>
    <phoneticPr fontId="2" type="noConversion"/>
  </si>
  <si>
    <t>산식</t>
    <phoneticPr fontId="2" type="noConversion"/>
  </si>
  <si>
    <t>산식한글명</t>
  </si>
  <si>
    <t>&amp;11-2000C&amp;+&amp;11-1300C&amp;+&amp;11-1146B&amp;+&amp;11-1137A</t>
    <phoneticPr fontId="2" type="noConversion"/>
  </si>
  <si>
    <t>(단자예치금(당기)+기타예금(당기))/별단예금(당기)*100</t>
  </si>
  <si>
    <t>(&amp;11-1133C&amp;+&amp;11-1134C&amp;)/&amp;11-1224C&amp;*100</t>
    <phoneticPr fontId="2" type="noConversion"/>
  </si>
  <si>
    <t>(&amp;11-1133C&amp;+&amp;11-113C&amp;)/&amp;11-1224C&amp;*100</t>
    <phoneticPr fontId="2" type="noConversion"/>
  </si>
  <si>
    <t>&amp;11-1227C&amp;-&amp;11-1222B&amp;</t>
    <phoneticPr fontId="2" type="noConversion"/>
  </si>
  <si>
    <t>에러 : &amp;의 개수가 홀수 입니다.</t>
  </si>
  <si>
    <t>에러 : [&amp;11-113C&amp;] : 계정의 자리수가 맞지 안습니다.</t>
  </si>
  <si>
    <t>[외화단기금융상품](당기)-정기예금(전기)</t>
  </si>
  <si>
    <t>&amp;11-2000C&amp;+&amp;11-1300C&amp;+&amp;11-1146B&amp;+&amp;11-1137A&amp;</t>
    <phoneticPr fontId="2" type="noConversion"/>
  </si>
  <si>
    <t>유동자산(계)(당기)+당좌자산(계)(당기)+(단기투자증권공정가액조정)(전기)+기타현금등가물(전전기)</t>
  </si>
  <si>
    <t>[외화현금및현금등가물]</t>
    <phoneticPr fontId="2" type="noConversion"/>
  </si>
  <si>
    <t>(국고보조금)</t>
    <phoneticPr fontId="2" type="noConversion"/>
  </si>
  <si>
    <t xml:space="preserve">    정기예금</t>
    <phoneticPr fontId="2" type="noConversion"/>
  </si>
</sst>
</file>

<file path=xl/styles.xml><?xml version="1.0" encoding="utf-8"?>
<styleSheet xmlns="http://schemas.openxmlformats.org/spreadsheetml/2006/main">
  <numFmts count="1">
    <numFmt numFmtId="176" formatCode="#,##0\ [$€-1];[Red]\-#,##0\ [$€-1]"/>
  </numFmts>
  <fonts count="10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10"/>
      <name val="MS Sans Serif"/>
      <family val="2"/>
    </font>
    <font>
      <sz val="10"/>
      <name val="돋움체"/>
      <family val="3"/>
      <charset val="129"/>
    </font>
    <font>
      <sz val="9"/>
      <color theme="1"/>
      <name val="Arial"/>
      <family val="2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0"/>
      <color rgb="FF000000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5">
    <xf numFmtId="0" fontId="0" fillId="0" borderId="0">
      <alignment vertical="center"/>
    </xf>
    <xf numFmtId="0" fontId="3" fillId="0" borderId="0" applyNumberFormat="0" applyFill="0" applyBorder="0" applyAlignment="0" applyProtection="0"/>
    <xf numFmtId="0" fontId="4" fillId="0" borderId="0"/>
    <xf numFmtId="176" fontId="5" fillId="0" borderId="0"/>
    <xf numFmtId="0" fontId="6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</cellStyleXfs>
  <cellXfs count="4">
    <xf numFmtId="0" fontId="0" fillId="0" borderId="0" xfId="0">
      <alignment vertical="center"/>
    </xf>
    <xf numFmtId="0" fontId="9" fillId="0" borderId="1" xfId="0" applyFont="1" applyBorder="1">
      <alignment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</cellXfs>
  <cellStyles count="15">
    <cellStyle name="_x000a_386grabber=M" xfId="1"/>
    <cellStyle name="표준" xfId="0" builtinId="0"/>
    <cellStyle name="표준 10" xfId="2"/>
    <cellStyle name="표준 100" xfId="3"/>
    <cellStyle name="표준 104" xfId="4"/>
    <cellStyle name="표준 2" xfId="5"/>
    <cellStyle name="표준 2 4" xfId="6"/>
    <cellStyle name="표준 2 5" xfId="7"/>
    <cellStyle name="표준 3" xfId="8"/>
    <cellStyle name="표준 4" xfId="9"/>
    <cellStyle name="표준 46" xfId="10"/>
    <cellStyle name="표준 5" xfId="11"/>
    <cellStyle name="표준 6" xfId="12"/>
    <cellStyle name="표준 7" xfId="13"/>
    <cellStyle name="표준 8" xfId="14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714375</xdr:colOff>
      <xdr:row>1</xdr:row>
      <xdr:rowOff>9525</xdr:rowOff>
    </xdr:from>
    <xdr:to>
      <xdr:col>6</xdr:col>
      <xdr:colOff>19050</xdr:colOff>
      <xdr:row>3</xdr:row>
      <xdr:rowOff>28575</xdr:rowOff>
    </xdr:to>
    <xdr:sp macro="[0]!산식한글로" textlink="">
      <xdr:nvSpPr>
        <xdr:cNvPr id="2" name="직사각형 1"/>
        <xdr:cNvSpPr/>
      </xdr:nvSpPr>
      <xdr:spPr>
        <a:xfrm>
          <a:off x="9667875" y="180975"/>
          <a:ext cx="1590675" cy="36195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100"/>
            <a:t>한글산식명 생성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11">
    <tabColor rgb="FFFFFF00"/>
  </sheetPr>
  <dimension ref="A1:D26"/>
  <sheetViews>
    <sheetView workbookViewId="0">
      <selection activeCell="D24" sqref="D24"/>
    </sheetView>
  </sheetViews>
  <sheetFormatPr defaultRowHeight="13.5"/>
  <cols>
    <col min="3" max="3" width="12.5546875" bestFit="1" customWidth="1"/>
    <col min="4" max="4" width="41.88671875" bestFit="1" customWidth="1"/>
  </cols>
  <sheetData>
    <row r="1" spans="1:4">
      <c r="A1" t="s">
        <v>25</v>
      </c>
      <c r="B1" s="1" t="s">
        <v>22</v>
      </c>
      <c r="C1" s="1" t="s">
        <v>23</v>
      </c>
      <c r="D1" s="1" t="s">
        <v>24</v>
      </c>
    </row>
    <row r="2" spans="1:4">
      <c r="A2" t="str">
        <f>B2&amp;"-"&amp;C2</f>
        <v>11-2000</v>
      </c>
      <c r="B2">
        <v>11</v>
      </c>
      <c r="C2">
        <v>2000</v>
      </c>
      <c r="D2" t="s">
        <v>0</v>
      </c>
    </row>
    <row r="3" spans="1:4">
      <c r="A3" t="str">
        <f t="shared" ref="A3:A26" si="0">B3&amp;"-"&amp;C3</f>
        <v>11-1300</v>
      </c>
      <c r="B3">
        <v>11</v>
      </c>
      <c r="C3">
        <v>1300</v>
      </c>
      <c r="D3" t="s">
        <v>1</v>
      </c>
    </row>
    <row r="4" spans="1:4">
      <c r="A4" t="str">
        <f t="shared" si="0"/>
        <v>11-1309</v>
      </c>
      <c r="B4">
        <v>11</v>
      </c>
      <c r="C4">
        <v>1309</v>
      </c>
      <c r="D4" t="s">
        <v>2</v>
      </c>
    </row>
    <row r="5" spans="1:4">
      <c r="A5" t="str">
        <f t="shared" si="0"/>
        <v>11-1100</v>
      </c>
      <c r="B5">
        <v>11</v>
      </c>
      <c r="C5">
        <v>1100</v>
      </c>
      <c r="D5" t="s">
        <v>3</v>
      </c>
    </row>
    <row r="6" spans="1:4">
      <c r="A6" t="str">
        <f t="shared" si="0"/>
        <v>11-1135</v>
      </c>
      <c r="B6">
        <v>11</v>
      </c>
      <c r="C6">
        <v>1135</v>
      </c>
      <c r="D6" t="s">
        <v>42</v>
      </c>
    </row>
    <row r="7" spans="1:4">
      <c r="A7" t="str">
        <f t="shared" si="0"/>
        <v>11-1136</v>
      </c>
      <c r="B7">
        <v>11</v>
      </c>
      <c r="C7">
        <v>1136</v>
      </c>
      <c r="D7" t="s">
        <v>41</v>
      </c>
    </row>
    <row r="8" spans="1:4">
      <c r="A8" t="str">
        <f t="shared" si="0"/>
        <v>11-1110</v>
      </c>
      <c r="B8">
        <v>11</v>
      </c>
      <c r="C8">
        <v>1110</v>
      </c>
      <c r="D8" t="s">
        <v>5</v>
      </c>
    </row>
    <row r="9" spans="1:4">
      <c r="A9" t="str">
        <f t="shared" si="0"/>
        <v>11-1120</v>
      </c>
      <c r="B9">
        <v>11</v>
      </c>
      <c r="C9">
        <v>1120</v>
      </c>
      <c r="D9" t="s">
        <v>6</v>
      </c>
    </row>
    <row r="10" spans="1:4">
      <c r="A10" t="str">
        <f t="shared" si="0"/>
        <v>11-1130</v>
      </c>
      <c r="B10">
        <v>11</v>
      </c>
      <c r="C10">
        <v>1130</v>
      </c>
      <c r="D10" t="s">
        <v>7</v>
      </c>
    </row>
    <row r="11" spans="1:4">
      <c r="A11" t="str">
        <f t="shared" si="0"/>
        <v>11-1132</v>
      </c>
      <c r="B11">
        <v>11</v>
      </c>
      <c r="C11">
        <v>1132</v>
      </c>
      <c r="D11" t="s">
        <v>8</v>
      </c>
    </row>
    <row r="12" spans="1:4">
      <c r="A12" t="str">
        <f t="shared" si="0"/>
        <v>11-1131</v>
      </c>
      <c r="B12">
        <v>11</v>
      </c>
      <c r="C12">
        <v>1131</v>
      </c>
      <c r="D12" t="s">
        <v>9</v>
      </c>
    </row>
    <row r="13" spans="1:4">
      <c r="A13" t="str">
        <f t="shared" si="0"/>
        <v>11-1133</v>
      </c>
      <c r="B13">
        <v>11</v>
      </c>
      <c r="C13">
        <v>1133</v>
      </c>
      <c r="D13" t="s">
        <v>10</v>
      </c>
    </row>
    <row r="14" spans="1:4">
      <c r="A14" t="str">
        <f t="shared" si="0"/>
        <v>11-1134</v>
      </c>
      <c r="B14">
        <v>11</v>
      </c>
      <c r="C14">
        <v>1134</v>
      </c>
      <c r="D14" t="s">
        <v>11</v>
      </c>
    </row>
    <row r="15" spans="1:4">
      <c r="A15" t="str">
        <f t="shared" si="0"/>
        <v>11-1137</v>
      </c>
      <c r="B15">
        <v>11</v>
      </c>
      <c r="C15">
        <v>1137</v>
      </c>
      <c r="D15" t="s">
        <v>12</v>
      </c>
    </row>
    <row r="16" spans="1:4">
      <c r="A16" t="str">
        <f t="shared" si="0"/>
        <v>11-1220</v>
      </c>
      <c r="B16">
        <v>11</v>
      </c>
      <c r="C16">
        <v>1220</v>
      </c>
      <c r="D16" t="s">
        <v>13</v>
      </c>
    </row>
    <row r="17" spans="1:4">
      <c r="A17" t="str">
        <f t="shared" si="0"/>
        <v>11-1226</v>
      </c>
      <c r="B17">
        <v>11</v>
      </c>
      <c r="C17">
        <v>1226</v>
      </c>
      <c r="D17" t="s">
        <v>4</v>
      </c>
    </row>
    <row r="18" spans="1:4">
      <c r="A18" t="str">
        <f t="shared" si="0"/>
        <v>11-1221</v>
      </c>
      <c r="B18">
        <v>11</v>
      </c>
      <c r="C18">
        <v>1221</v>
      </c>
      <c r="D18" t="s">
        <v>14</v>
      </c>
    </row>
    <row r="19" spans="1:4">
      <c r="A19" t="str">
        <f t="shared" si="0"/>
        <v>11-1227</v>
      </c>
      <c r="B19">
        <v>11</v>
      </c>
      <c r="C19">
        <v>1227</v>
      </c>
      <c r="D19" t="s">
        <v>15</v>
      </c>
    </row>
    <row r="20" spans="1:4">
      <c r="A20" t="str">
        <f t="shared" si="0"/>
        <v>11-1222</v>
      </c>
      <c r="B20">
        <v>11</v>
      </c>
      <c r="C20">
        <v>1222</v>
      </c>
      <c r="D20" t="s">
        <v>43</v>
      </c>
    </row>
    <row r="21" spans="1:4">
      <c r="A21" t="str">
        <f t="shared" si="0"/>
        <v>11-1223</v>
      </c>
      <c r="B21">
        <v>11</v>
      </c>
      <c r="C21">
        <v>1223</v>
      </c>
      <c r="D21" t="s">
        <v>16</v>
      </c>
    </row>
    <row r="22" spans="1:4">
      <c r="A22" t="str">
        <f t="shared" si="0"/>
        <v>11-1224</v>
      </c>
      <c r="B22">
        <v>11</v>
      </c>
      <c r="C22">
        <v>1224</v>
      </c>
      <c r="D22" t="s">
        <v>17</v>
      </c>
    </row>
    <row r="23" spans="1:4">
      <c r="A23" t="str">
        <f t="shared" si="0"/>
        <v>11-1225</v>
      </c>
      <c r="B23">
        <v>11</v>
      </c>
      <c r="C23">
        <v>1225</v>
      </c>
      <c r="D23" t="s">
        <v>18</v>
      </c>
    </row>
    <row r="24" spans="1:4">
      <c r="A24" t="str">
        <f t="shared" si="0"/>
        <v>11-1140</v>
      </c>
      <c r="B24">
        <v>11</v>
      </c>
      <c r="C24">
        <v>1140</v>
      </c>
      <c r="D24" t="s">
        <v>19</v>
      </c>
    </row>
    <row r="25" spans="1:4">
      <c r="A25" t="str">
        <f t="shared" si="0"/>
        <v>11-1149</v>
      </c>
      <c r="B25">
        <v>11</v>
      </c>
      <c r="C25">
        <v>1149</v>
      </c>
      <c r="D25" t="s">
        <v>20</v>
      </c>
    </row>
    <row r="26" spans="1:4">
      <c r="A26" t="str">
        <f t="shared" si="0"/>
        <v>11-1146</v>
      </c>
      <c r="B26">
        <v>11</v>
      </c>
      <c r="C26">
        <v>1146</v>
      </c>
      <c r="D26" t="s">
        <v>21</v>
      </c>
    </row>
  </sheetData>
  <sheetProtection selectLockedCells="1"/>
  <phoneticPr fontId="2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C7"/>
  <sheetViews>
    <sheetView tabSelected="1" topLeftCell="D1" workbookViewId="0">
      <selection activeCell="G22" sqref="G22"/>
    </sheetView>
  </sheetViews>
  <sheetFormatPr defaultRowHeight="13.5"/>
  <cols>
    <col min="1" max="1" width="14.88671875" customWidth="1"/>
    <col min="2" max="2" width="46.33203125" bestFit="1" customWidth="1"/>
    <col min="3" max="3" width="43.21875" style="3" customWidth="1"/>
  </cols>
  <sheetData>
    <row r="1" spans="1:3">
      <c r="A1" t="s">
        <v>24</v>
      </c>
      <c r="B1" t="s">
        <v>29</v>
      </c>
      <c r="C1" s="3" t="s">
        <v>30</v>
      </c>
    </row>
    <row r="2" spans="1:3">
      <c r="A2" t="s">
        <v>26</v>
      </c>
      <c r="B2" t="s">
        <v>31</v>
      </c>
      <c r="C2" s="2" t="s">
        <v>36</v>
      </c>
    </row>
    <row r="3" spans="1:3">
      <c r="A3" t="s">
        <v>27</v>
      </c>
      <c r="B3" t="s">
        <v>34</v>
      </c>
      <c r="C3" s="2" t="s">
        <v>37</v>
      </c>
    </row>
    <row r="4" spans="1:3">
      <c r="A4" t="s">
        <v>28</v>
      </c>
      <c r="B4" t="s">
        <v>35</v>
      </c>
      <c r="C4" s="3" t="s">
        <v>38</v>
      </c>
    </row>
    <row r="5" spans="1:3">
      <c r="A5" t="s">
        <v>26</v>
      </c>
      <c r="B5" t="s">
        <v>39</v>
      </c>
      <c r="C5" s="3" t="s">
        <v>40</v>
      </c>
    </row>
    <row r="6" spans="1:3">
      <c r="A6" t="s">
        <v>27</v>
      </c>
      <c r="B6" t="s">
        <v>33</v>
      </c>
      <c r="C6" s="3" t="s">
        <v>32</v>
      </c>
    </row>
    <row r="7" spans="1:3">
      <c r="A7" t="s">
        <v>28</v>
      </c>
      <c r="B7" t="s">
        <v>35</v>
      </c>
      <c r="C7" s="3" t="s">
        <v>38</v>
      </c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계정</vt:lpstr>
      <vt:lpstr>산식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kimdaeho</dc:creator>
  <cp:lastModifiedBy>kimdaeho</cp:lastModifiedBy>
  <dcterms:created xsi:type="dcterms:W3CDTF">2021-04-01T08:46:59Z</dcterms:created>
  <dcterms:modified xsi:type="dcterms:W3CDTF">2021-04-05T02:58:12Z</dcterms:modified>
</cp:coreProperties>
</file>