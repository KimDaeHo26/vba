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940" yWindow="300" windowWidth="24315" windowHeight="9120" tabRatio="920" activeTab="1"/>
  </bookViews>
  <sheets>
    <sheet name="비재무항목" sheetId="68" r:id="rId1"/>
    <sheet name="비재무모형" sheetId="61" r:id="rId2"/>
  </sheets>
  <definedNames>
    <definedName name="_xlnm._FilterDatabase" localSheetId="0" hidden="1">비재무항목!$A$2:$S$157</definedName>
  </definedNames>
  <calcPr calcId="125725"/>
</workbook>
</file>

<file path=xl/calcChain.xml><?xml version="1.0" encoding="utf-8"?>
<calcChain xmlns="http://schemas.openxmlformats.org/spreadsheetml/2006/main">
  <c r="Q14" i="61"/>
  <c r="R14" s="1"/>
  <c r="R13"/>
  <c r="Q13"/>
  <c r="Q12"/>
  <c r="R12" s="1"/>
  <c r="R11"/>
  <c r="Q11"/>
  <c r="Q10"/>
  <c r="R10" s="1"/>
  <c r="R9"/>
  <c r="Q9"/>
  <c r="Q8"/>
  <c r="R8" s="1"/>
  <c r="R7"/>
  <c r="Q7"/>
  <c r="Q6"/>
  <c r="R6" s="1"/>
  <c r="R5"/>
  <c r="Q5"/>
  <c r="Q4"/>
  <c r="R4" s="1"/>
  <c r="R3"/>
  <c r="Q3"/>
  <c r="Q2"/>
  <c r="R2" s="1"/>
  <c r="G52"/>
  <c r="G53"/>
  <c r="E52"/>
  <c r="E53"/>
  <c r="D52"/>
  <c r="D53"/>
  <c r="C52"/>
  <c r="C53"/>
  <c r="B52"/>
  <c r="B53"/>
  <c r="B54"/>
  <c r="B55"/>
  <c r="B56"/>
  <c r="B57"/>
  <c r="B58"/>
  <c r="B59"/>
  <c r="B60"/>
  <c r="B61"/>
  <c r="B62"/>
  <c r="B63"/>
  <c r="B64"/>
  <c r="B65"/>
  <c r="A65"/>
  <c r="A52"/>
  <c r="A53"/>
  <c r="E50" l="1"/>
  <c r="H52"/>
  <c r="H53"/>
  <c r="H67" l="1"/>
</calcChain>
</file>

<file path=xl/comments1.xml><?xml version="1.0" encoding="utf-8"?>
<comments xmlns="http://schemas.openxmlformats.org/spreadsheetml/2006/main">
  <authors>
    <author>Uxxxxxx</author>
  </authors>
  <commentList>
    <comment ref="T2" authorId="0">
      <text>
        <r>
          <rPr>
            <b/>
            <sz val="11"/>
            <color indexed="81"/>
            <rFont val="현대해상 고딕 Light"/>
            <family val="3"/>
            <charset val="129"/>
          </rPr>
          <t>&lt;&lt; 평가주안점 &gt;&gt; _x000D_
&lt;우발적 재무 위험&gt;
▶ 파악 가능한 부외 부채의 규모
▶ 소송이나 지급 보증, 담보 제공 등에 따른 우발 채무 발생 가능성
▶ 외환 리스크
[참고]
 재무제표 주석 사항 중 우발 채무</t>
        </r>
      </text>
    </comment>
    <comment ref="U10" authorId="0">
      <text>
        <r>
          <rPr>
            <sz val="10"/>
            <color indexed="81"/>
            <rFont val="현대해상 고딕 Light"/>
            <family val="3"/>
            <charset val="129"/>
          </rPr>
          <t>&lt;&lt; A &gt;&gt;_x000D_
부외 부채나 우발 채무가 전무하거나, 부외부채나 우발 채무를 감안하더라도 완전하게 우발적 위험을 감당할 수 있음</t>
        </r>
      </text>
    </comment>
    <comment ref="U12" authorId="0">
      <text>
        <r>
          <rPr>
            <sz val="10"/>
            <color indexed="81"/>
            <rFont val="현대해상 고딕 Light"/>
            <family val="3"/>
            <charset val="129"/>
          </rPr>
          <t>&lt;&lt; B &gt;&gt;_x000D_
부외 부채나 우발 채무가 소액 존재하지만, 부외부채나 우발 채무를 감안하더라도 우발적 위험에 대처할 수 있음</t>
        </r>
      </text>
    </comment>
    <comment ref="U14" authorId="0">
      <text>
        <r>
          <rPr>
            <sz val="10"/>
            <color indexed="81"/>
            <rFont val="현대해상 고딕 Light"/>
            <family val="3"/>
            <charset val="129"/>
          </rPr>
          <t>&lt;&lt; C &gt;&gt;_x000D_
부외 부채나 우발 채무가 다소 존재하며, 부외부채나 우발 채무를 감안하더라도 재무적 곤경에 빠지지 않을 것으로 예상됨</t>
        </r>
      </text>
    </comment>
    <comment ref="U16" authorId="0">
      <text>
        <r>
          <rPr>
            <sz val="10"/>
            <color indexed="81"/>
            <rFont val="현대해상 고딕 Light"/>
            <family val="3"/>
            <charset val="129"/>
          </rPr>
          <t>&lt;&lt; D &gt;&gt;_x000D_
부외 부채나 우발 채무가 존재하며, 부외부채나 우발 채무를 감안할 경우 재무적 곤경에 빠질 가능성이 존재함</t>
        </r>
      </text>
    </comment>
    <comment ref="U18" authorId="0">
      <text>
        <r>
          <rPr>
            <sz val="10"/>
            <color indexed="81"/>
            <rFont val="현대해상 고딕 Light"/>
            <family val="3"/>
            <charset val="129"/>
          </rPr>
          <t>&lt;&lt; E &gt;&gt;_x000D_
일정 수준 이상의 부외 부채나 우발 채무가 존재하며, 부채로 확정될 가능성이 높아 재무적 곤경에 빠질 가능성이 상존함</t>
        </r>
      </text>
    </comment>
    <comment ref="U20" authorId="0">
      <text>
        <r>
          <rPr>
            <sz val="10"/>
            <color indexed="81"/>
            <rFont val="현대해상 고딕 Light"/>
            <family val="3"/>
            <charset val="129"/>
          </rPr>
          <t>&lt;&lt; F &gt;&gt;_x000D_
대규모의 부외 부채나 우발 채무가 존재하며, 가까운 미래에 부채로 확정될 가능성이 매우 높아 재무적 곤경에 빠질 가능성이 확실시됨</t>
        </r>
      </text>
    </comment>
  </commentList>
</comments>
</file>

<file path=xl/sharedStrings.xml><?xml version="1.0" encoding="utf-8"?>
<sst xmlns="http://schemas.openxmlformats.org/spreadsheetml/2006/main" count="2363" uniqueCount="426">
  <si>
    <t>A</t>
  </si>
  <si>
    <t>대분류명</t>
    <phoneticPr fontId="8" type="noConversion"/>
  </si>
  <si>
    <t>중분류명</t>
    <phoneticPr fontId="2" type="noConversion"/>
  </si>
  <si>
    <t>소분류명</t>
    <phoneticPr fontId="8" type="noConversion"/>
  </si>
  <si>
    <t>항목명</t>
    <phoneticPr fontId="8" type="noConversion"/>
  </si>
  <si>
    <t>가이드라인</t>
    <phoneticPr fontId="8" type="noConversion"/>
  </si>
  <si>
    <t>가이드A</t>
    <phoneticPr fontId="8" type="noConversion"/>
  </si>
  <si>
    <t>가이드B</t>
    <phoneticPr fontId="8" type="noConversion"/>
  </si>
  <si>
    <t>가이드C</t>
    <phoneticPr fontId="8" type="noConversion"/>
  </si>
  <si>
    <t>가이드D</t>
    <phoneticPr fontId="8" type="noConversion"/>
  </si>
  <si>
    <t>가이드E</t>
    <phoneticPr fontId="8" type="noConversion"/>
  </si>
  <si>
    <t>가이드F</t>
    <phoneticPr fontId="8" type="noConversion"/>
  </si>
  <si>
    <t>101101</t>
  </si>
  <si>
    <t>10등급</t>
  </si>
  <si>
    <t>배점</t>
    <phoneticPr fontId="8" type="noConversion"/>
  </si>
  <si>
    <t>항목</t>
    <phoneticPr fontId="8" type="noConversion"/>
  </si>
  <si>
    <t>선택점수</t>
    <phoneticPr fontId="2" type="noConversion"/>
  </si>
  <si>
    <t>등급</t>
    <phoneticPr fontId="2" type="noConversion"/>
  </si>
  <si>
    <t>득점</t>
    <phoneticPr fontId="2" type="noConversion"/>
  </si>
  <si>
    <t>산업 위험</t>
    <phoneticPr fontId="9" type="noConversion"/>
  </si>
  <si>
    <t>IR 등급</t>
    <phoneticPr fontId="9" type="noConversion"/>
  </si>
  <si>
    <t>평가 업체가 포함되는 산업의 체계적 위험 평가</t>
    <phoneticPr fontId="9" type="noConversion"/>
  </si>
  <si>
    <t>&lt;IR 등급&gt;
산업 환경/경쟁 상황/성장성 등을 분석하여 NICE평가정보에서 제공하는 산업등급으로 평가
▶ 산업 환경 : 산업 관련 규제 및 정부 정책 동향, 노동시장, 경기 변동에 대한 취약성
▶ 경쟁 상황 : 산업 내 경쟁 구조, 신규 진입장벽, 대체품의 위협 여부, 상품의 시장수급 구조(과열 경쟁 가능성)
▶ 성장성 : 해외 및 국내 시장 동향 및 향후 수요 전망, 주력 제품의 수명 주기
[참고]
지주회사 : 주력회사 업종 산업등급
[참조지표]
IR 등급 :
1등급(산업의 성장요소, 경쟁요소, 환경요소에 의한 종합 전망 시 소속업체의 사업환경이 최상임
2등급(산업의 성장요소, 경쟁요소, 환경요소에 의한 종합 전망 시 소속업체의 사업환경이 매우 우수함
3등급(산업의 성장요소, 경쟁요소, 환경요소에 의한 종합 전망 시 소속업체의 사업환경이 우수함
4등급(산업의 종합 전망이 보통이며 성장요소, 경쟁요소, 환경요소 중 둘 이상이 우수함
5등급(산업의 종합 전망이 보통이며 성장요소, 경쟁요소, 환경요소 중 하나가 우수함
6등급(산업의 종합 전망이 보통이며 성장요소, 경쟁요소, 환경요소 중 하나가 미흡함
7등급(산업의 종합 전망이 보통이며 성장요소, 경쟁요소, 환경요소 중 둘 이상이 미흡함
8등급(산업의 종합 전망이 열위하며 성장요소, 경쟁요소, 환경요소 중 하나가 불량함
9등급(산업의 종합 전망이 열위하며 성장요소, 경쟁요소, 환경요소 중 둘 이상이 불량함
10등급(산업의 성장요소, 경쟁요소, 환경요소에 의한 종합 전망 시 소속업체의 사업환경이 매우 불량함</t>
    <phoneticPr fontId="9" type="noConversion"/>
  </si>
  <si>
    <t>1등급</t>
    <phoneticPr fontId="9" type="noConversion"/>
  </si>
  <si>
    <t>2•3등급</t>
    <phoneticPr fontId="9" type="noConversion"/>
  </si>
  <si>
    <t>4•5등급(무등급)</t>
    <phoneticPr fontId="9" type="noConversion"/>
  </si>
  <si>
    <t>6•7등급</t>
    <phoneticPr fontId="9" type="noConversion"/>
  </si>
  <si>
    <t>8•9등급</t>
    <phoneticPr fontId="9" type="noConversion"/>
  </si>
  <si>
    <t>10등급</t>
    <phoneticPr fontId="9" type="noConversion"/>
  </si>
  <si>
    <t>101102</t>
    <phoneticPr fontId="9" type="noConversion"/>
  </si>
  <si>
    <t>산업 위험</t>
    <phoneticPr fontId="9" type="noConversion"/>
  </si>
  <si>
    <t>진입장벽/경쟁 상황</t>
    <phoneticPr fontId="9" type="noConversion"/>
  </si>
  <si>
    <t>새로운 경쟁업체가 분석 대상 업체 산업으로의 진입 어려움과 경쟁 강도를 평가</t>
    <phoneticPr fontId="9" type="noConversion"/>
  </si>
  <si>
    <t>&lt;진입장벽&gt;
▶ 산업에 진입하기 위해 필요한 전문기술/경험의 정도
▶ 정부의 인허가
▶ 영업 규모/영업을 하는데 필요한 최소 투자 규모
▶ 지리적 입지의 제약
&lt;경쟁 상황&gt;
▶ 시장 경쟁 형태 : 독점, 복점, 과점, 독점적 경쟁, 완전경쟁
▶ 경쟁 범위 : 지역, 전국, 세계
▶ 교체 비용 및 철수 비용
▶ 출혈 경쟁 여부</t>
    <phoneticPr fontId="9" type="noConversion"/>
  </si>
  <si>
    <t>진입장벽이 매우 높고 경쟁 강도는 매우 낮음
- 특허권, 기술력, 규모의 경제로 인한 자연독점적인 상황이 향후 지속되는 구조
- 정부의 인허가로 인한 독점적인 시장 구조가 향후 지속되는 구조</t>
    <phoneticPr fontId="9" type="noConversion"/>
  </si>
  <si>
    <t>진입장벽이 높고 경쟁 강도가 낮음</t>
    <phoneticPr fontId="9" type="noConversion"/>
  </si>
  <si>
    <t>진입장벽이 높고 시장 내 경쟁 강도가 높음</t>
    <phoneticPr fontId="9" type="noConversion"/>
  </si>
  <si>
    <t>진입장벽이 높지 않으며 일부 경쟁이 있는 시장 구조</t>
    <phoneticPr fontId="9" type="noConversion"/>
  </si>
  <si>
    <t>진입장벽이 일부 존재하나 크지 않으며 경쟁적인 시장 구조</t>
    <phoneticPr fontId="9" type="noConversion"/>
  </si>
  <si>
    <t>경쟁이 매우 치열한 시장 구조</t>
    <phoneticPr fontId="9" type="noConversion"/>
  </si>
  <si>
    <t>101103</t>
    <phoneticPr fontId="9" type="noConversion"/>
  </si>
  <si>
    <t>산업 위험</t>
    <phoneticPr fontId="9" type="noConversion"/>
  </si>
  <si>
    <t>경기 민감도</t>
    <phoneticPr fontId="9" type="noConversion"/>
  </si>
  <si>
    <t>경기 침체 시 수요 패턴을 평가</t>
    <phoneticPr fontId="9" type="noConversion"/>
  </si>
  <si>
    <t>&lt;경기 민감도&gt;
경기 변동의 국면에 따른 반응 양태를 구분하여 경기 변동에 순행하는 산업 여부 및 민감도 여부를 파악, 경기 부침에 따라 동 산업에서 사업을 영위하는 기업의 실적이 변화하는 정도를 평가
▶ 경기 반응 양태
▶ 수요의 패턴</t>
    <phoneticPr fontId="9" type="noConversion"/>
  </si>
  <si>
    <t>경기 침체 시에도 수요 성장세 지속</t>
    <phoneticPr fontId="9" type="noConversion"/>
  </si>
  <si>
    <t>경기 침체 시에도 수요가 안정적</t>
    <phoneticPr fontId="9" type="noConversion"/>
  </si>
  <si>
    <t>경기 침체 시 수요가 현상 유지</t>
    <phoneticPr fontId="9" type="noConversion"/>
  </si>
  <si>
    <t>경기 침체 시 수요가 소폭 감소</t>
    <phoneticPr fontId="9" type="noConversion"/>
  </si>
  <si>
    <t>경기 침체 시 수요가 감소</t>
    <phoneticPr fontId="9" type="noConversion"/>
  </si>
  <si>
    <t>경기 침체 시 수요가 대폭 감소</t>
    <phoneticPr fontId="9" type="noConversion"/>
  </si>
  <si>
    <t>101104</t>
    <phoneticPr fontId="9" type="noConversion"/>
  </si>
  <si>
    <t>영업 위험</t>
    <phoneticPr fontId="9" type="noConversion"/>
  </si>
  <si>
    <t>영업 자원</t>
    <phoneticPr fontId="9" type="noConversion"/>
  </si>
  <si>
    <t>기술 수준/입지/설비 수준</t>
    <phoneticPr fontId="9" type="noConversion"/>
  </si>
  <si>
    <t>기술 수준, 사업장 및 물류시설의 입지 적정성, 설비 수준에 대한 평가</t>
    <phoneticPr fontId="9" type="noConversion"/>
  </si>
  <si>
    <t>&lt;기술 수준&gt;
▶ 특허, 공인 인증, 신기술 보유, 독자적 기술 개발 능력, 신상품 개발, 대외 수상 실적 등 보유 기술 및 서비스 수준
▶ R&amp;D 현황, 기술 제휴, 자체 연구소 운영 여부 및 실태를 통한 기술 및 서비스 개선 노력
[참조지표]
연구비/매출액
&lt;입지&gt;
▶ 사업장 및 물류시설의 입지 적정성
- 접근 용이성
- 교통 편의성
&lt;설비 수준&gt;
▶ 설비 규모 및 수준
▶ 자동화 설비 투자 수준
▶ 시설 투자 및 유지 보수(리모델링)
[참고]
유통업 : 전문점 밀집 지역/교통 편의성이 우수한 지역/유동인구 및 상주인구가 풍부한 지역
- 기타 서비스업 : 유동인구 및 상주인구가 풍부한 지역/관광지역 인접성, 전망/상권 밀집지역
[참조지표]
설비 수준 -&gt; 총자산수익율, 유형자산, 감가상각비</t>
    <phoneticPr fontId="9" type="noConversion"/>
  </si>
  <si>
    <t>동 업계 내 선도적인 기술력 및 서비스 수준을 보유하고 있음
지속적인 연구 개발 투자를 통해 적극적으로 기술력 향상을 위해 노력하고 있음
사업장 및 물류시설의 입지가 매우 우수하며 동 업계 내 최상의 설비를 갖추고 있음</t>
    <phoneticPr fontId="9" type="noConversion"/>
  </si>
  <si>
    <t>동 업계 내 우위의 기술력 및 서비스 수준을 보유하고 있음
지속적인 연구 개발 투자를 통해 기술력 향상을 위해 노력하고 있음
사업장 및 물류시설의 입지가 우수하며 동 업계 내 상위의 설비를 갖추고 있음</t>
    <phoneticPr fontId="9" type="noConversion"/>
  </si>
  <si>
    <t>동 업계 내 평균 수준의 기술력 및 서비스 수준을 보유하고 있음
독자적 기술 개발은 어려우나 기술 및 품질 개선을 위한 연구 개발 투자가 평균 수준으로 이루어지고 있음
사업장 및 물류시설의 입지가 양호하며 동 업계 내 평균 수준의 설비를 갖추고 있음</t>
    <phoneticPr fontId="9" type="noConversion"/>
  </si>
  <si>
    <t>기술력 및 서비스 수준을 보유하고 있긴 하나 환경 변화에 대한 대응력이 미약함
기술 및 품질 개선을 위한 연구 개발 투자가 미흡함
사업장 및 물류시설의 입지가 다소 미흡하며 설비의 유지 보수가 필요함</t>
    <phoneticPr fontId="9" type="noConversion"/>
  </si>
  <si>
    <t>기술력 및 서비스 수준이 열악하고, 독자적인 기술 개발력이 부족함
연구 개발 투자가 낮은 수준이어서 향후 경쟁력 약화가 예상됨
사업장 및 물류시설의 입지가 취약하며 설비의 개선이 필요함</t>
    <phoneticPr fontId="9" type="noConversion"/>
  </si>
  <si>
    <t>기술력 및 서비스 수준이 매우 열악함
기술력의 부재로 생산에 차질이 발생하고, 그에 따라 제품 및 서비스 품질이 매우 불량한 수준임
사업장 및 물류시설의 입지가 매우 취약하며 설비의 개선이 시급한 상황임</t>
    <phoneticPr fontId="9" type="noConversion"/>
  </si>
  <si>
    <t>101105</t>
    <phoneticPr fontId="9" type="noConversion"/>
  </si>
  <si>
    <t>영업 위험</t>
    <phoneticPr fontId="9" type="noConversion"/>
  </si>
  <si>
    <t>구매 위험/생산 위험</t>
    <phoneticPr fontId="9" type="noConversion"/>
  </si>
  <si>
    <t>원자재 및 상품 등의 구매 단계에서 발생하는 위험 및 생산 단계에서 발생하는 위험 평가</t>
    <phoneticPr fontId="9" type="noConversion"/>
  </si>
  <si>
    <t>&lt;구매 위험&gt;
▶ 구매 안정성
- 환율, 유가 등의 외적 요인으로 인한 구매 물량 및 가격 변동성
- 구매처의 다변화
- 고정 거래처 확보 여부
▶ 구매 효율성
- 가격 교섭력
- 현금 결제 비율, 외상 기간 등 결제 조건
[참조지표]
매출원가율
&lt;생산 위험&gt;
▶ 상품, 제품의 품질 수준
▶ 제품 수요 변동성에 따른 가동률 수준, 하청업체 관리 수준(통제력)
▶ 생산을 위한 설비 효율성
- 최신 설비시설의 도입 및 지속적 설비 개보수 활동
- 시설과 장비의 원활한 가동률
- 수율 및 불량률
- [참고]
건설업 : 하자보수 빈도, 총 공사비 대비 하자보수비 발생액, 하도급 비중, 이월공사물량비중
[참조지표]
매입채무회전율, 재고자산회전율</t>
    <phoneticPr fontId="9" type="noConversion"/>
  </si>
  <si>
    <t>구매처 다변화로 적기에 원자재 조달이 가능하며 외적 요인으로 인한 구매 변동성이 전혀 없음
고정 거래처가 매우 충분히 확보되어 있고 가격 교섭력 및 결제 조건이 매우 우수함
제품의 품질이 매우 우수하며 제품 수요 변동성에 따른 가동률 수준이 매우 적정하고 수율 및 불량률 등 생산효율성이 뛰어남</t>
    <phoneticPr fontId="9" type="noConversion"/>
  </si>
  <si>
    <t>구매처 다변화로 원자재의 안정적인 조달이 가능하며 외적 요인으로 인한 구매 변동성이 약간 있음
고정 거래처가 충분히 확보되어 있고 가격 교섭력 및 결제조건이 우수함
제품의 품질이 우수하며 제품 수요 변동성에 따른 가동률 조정이 가능하고 수율 및 불량률 등 생산효율성이 양호함</t>
    <phoneticPr fontId="9" type="noConversion"/>
  </si>
  <si>
    <t>구매처가 다변화되어 있지는 않지만 고정 구매처를 통해 원활하게 조달 가능하고 가격 및 결제조건을 유리하게 결정할 수 있음
제품의 품질이 보통 수준이며 제품 수요 변동성에 따라 적정 수준으로 생산 가능함</t>
    <phoneticPr fontId="9" type="noConversion"/>
  </si>
  <si>
    <t>구매처가 다변화되어 있지는 않지만 고정 구매처를 통해 필요 물량 조달 가능하나 가격 및 결제조건 결정 권한이 불리한 입장임
제품의 품질이 미흡하며 설비 보수 등을 통해 수율 및 불량률 등 생산효율성 향상을 위해 노력해야 함</t>
    <phoneticPr fontId="9" type="noConversion"/>
  </si>
  <si>
    <t>공급업체가 제한되어 있어 물량 부족 현상이 자주 발생하고 가격 및 결제조건에 대한 리스크가 큰 편임
외적 요인으로 인한 구매 물량 및 가격 변동성이 크게 있음
제품의 품질이 취약하며 설비 낙후 등의 문제로 가동률이 떨어지고 불량률 등 생산효율성 저하로 생산 위험에 대한 관리가 필요함</t>
    <phoneticPr fontId="9" type="noConversion"/>
  </si>
  <si>
    <t>공급업체가 극히 제한되어 있어 물량 부족 현상이 빈번하고 가격 및 결제조건의 매우 불리함
외적 요인으로 인한 구매 물량 및 가격 변동성이 매우 크게 있음
제품의 품질이 매우 취약하며 설비 등의 제반 사항 불충분으로 정상적인 생산활동이 어려움</t>
    <phoneticPr fontId="9" type="noConversion"/>
  </si>
  <si>
    <t>101106</t>
    <phoneticPr fontId="9" type="noConversion"/>
  </si>
  <si>
    <t>판매 위험</t>
    <phoneticPr fontId="9" type="noConversion"/>
  </si>
  <si>
    <t>판매 경쟁력</t>
    <phoneticPr fontId="9" type="noConversion"/>
  </si>
  <si>
    <t>주요 판매 제품 및 서비스의 차별화 수준과 가격 경쟁력 및 시장에서의 경쟁적 지위를 평가</t>
    <phoneticPr fontId="9" type="noConversion"/>
  </si>
  <si>
    <t>&lt;판매 경쟁력&gt;
▶ 주요 판매 제품 및 서비스의 차별화 수준
- 주요 판매 제품의 품질 수준과 수명
- 브랜드 인지도 및 충성도
- 서비스 수준
▶ 가격 경쟁력
▶ 영업 대상 지역의 광범위성
▶ 공급처 및 고객의 수 및 그에 따른 경쟁 수준, 잠재적 경쟁자, 대체품의 접근 용이성
▶ 독점, 과점, 자유경쟁 등 경쟁 구조
▶ 시장 점유율 및 시장 지배력(시장 수요 및 가격에 대한 영향력)
[참고]
건설업: 시공능력 평가액 순위</t>
    <phoneticPr fontId="9" type="noConversion"/>
  </si>
  <si>
    <t>제품 및 서비스의 차별화 수준이 우수하며 가격 경쟁력이 탁월하고, 시장 점유율이 매우 높은 수준임
경쟁업체 수가 제한되어 있으며 대체 상품/대체 서비스 출현이 매우 어려움</t>
    <phoneticPr fontId="9" type="noConversion"/>
  </si>
  <si>
    <t>제품 및 서비스의 차별화 수준과 가격 경쟁력이 양호하며, 시장 점유율이 높은 편임
경쟁업체 수가 적은 편이며, 대체 상품/대체 서비스 출현 가능성이 낮은 편임</t>
    <phoneticPr fontId="9" type="noConversion"/>
  </si>
  <si>
    <t>제품 및 서비스의 차별화 수준이 보통 수준이나 가격 경쟁력이 양호한 편이며, 시장 점유율도 보통 수준임
경쟁업체 수는 적은 편이나, 대체 상품/대체 서비스 출현 가능성이 존재함</t>
    <phoneticPr fontId="9" type="noConversion"/>
  </si>
  <si>
    <t>제품 및 서비스의 차별화 수준이 미흡하며 가격 경쟁력도 평균 이하이며, 시장 점유율이 낮은 수준임
경쟁업체 수가 증가하고 있고 대체 상품/대체 서비스 출현 가능성이 높이 존재함</t>
    <phoneticPr fontId="9" type="noConversion"/>
  </si>
  <si>
    <t>제품 및 서비스 차별화 수준이 열등하며 가격경쟁력도 낮은 편이고, 향후 시장 점유율이 줄어들 것으로 예상됨
영업지역 내의 제품 및 서비스공급 경쟁이 심화되고 있고, 대체 상품/대체 서비스가 지속적으로 나타나고 있음</t>
    <phoneticPr fontId="9" type="noConversion"/>
  </si>
  <si>
    <t>제품 및 서비스의 품질과 가격 경쟁력이 매우 열악하며 시장 점유율도 매우 열악하여 정상적인 영업활동을 하기에 어려울 것으로 예상됨</t>
    <phoneticPr fontId="9" type="noConversion"/>
  </si>
  <si>
    <t>101107</t>
    <phoneticPr fontId="9" type="noConversion"/>
  </si>
  <si>
    <t>판매 안정성</t>
    <phoneticPr fontId="9" type="noConversion"/>
  </si>
  <si>
    <t>재화 또는 용역의 판매가 안정적으로 이루어질 수 있는지 평가</t>
    <phoneticPr fontId="9" type="noConversion"/>
  </si>
  <si>
    <t>&lt;판매 안정성&gt;
▶ 고정 판매처 보유 여부, 판매처 다변화 가능성
▶ 전방산업의 시장 상황 및 경기 전망을 고려한 수요 기반, 영업 조직 및 유통 구조/유통망 수준, 판매 장려 정책의 적극성
[참고]
음식/숙박업: 회전율
임대업: 공실률
건설업: 수주 잔량 및 그 변동성, 공사 종류별 포트폴리오 구성, 턴키 공사 및 공공 수주 실적
[참조지표]
매출액, 매출액 증가율, 영업이익율, 총자산수익율</t>
    <phoneticPr fontId="9" type="noConversion"/>
  </si>
  <si>
    <t>경기 상황 등 외부적 요인에 무관하게 수요기반이 매우 안정적이고 기존 판매처와 지속적으로 거래하고 있음
신규 판매처의 확보 수준도 우수함. 상황에 따라 적절한 판매 장려(Promotion) 전략을 구사하여 판매 안정성을 높은 수준으로 유지함</t>
    <phoneticPr fontId="9" type="noConversion"/>
  </si>
  <si>
    <t>경기 상황 등 외부적 요인에 따라 수요기반이 변동적이며 기존 판매처와의 거래 지속성이 양호함
신규 판매처의 확보를 위해서도 꾸준히 노력하고 있음. 상황에 따라 판매 장려(Promotion) 전략을 구사하여 판매 안정성을 유지하기 위해 노력하고 있음</t>
    <phoneticPr fontId="9" type="noConversion"/>
  </si>
  <si>
    <t>경기 상황 등 외부적 요인에 따라 수요기반이 변동적이며 기존 판매처와의 거래 지속성은 평균 수준임
신규 판매처 확보도 보통 수준으로 이루어지고 있음. 상황에 따라 판매 장려(Promotion) 전략을 구사하고 있으나 영업 실적과의 연계 가능성은 불명확함</t>
    <phoneticPr fontId="9" type="noConversion"/>
  </si>
  <si>
    <t>경기 상황 등 외부적 요인에 따라 수요기반이 변동적이고 기존 판매처와의 거래 지속성이 불명확함
신규 판매처 확보가 원활히 이루어지고 있지 못함. 상황에 따라 판매 장려(Promotion) 전략을 구사하지만 영업 실적으로 이어지지 못하고 있음</t>
    <phoneticPr fontId="9" type="noConversion"/>
  </si>
  <si>
    <t>경기 상황 등 외부적 요인에 따라 수요기반이 변동적이고 고정 판매처가 줄어들고 있어 판매 안정성이 열악한 수준임</t>
    <phoneticPr fontId="9" type="noConversion"/>
  </si>
  <si>
    <t>안정적인 판매처를 잃거나 확보하지 못하는 등 판매처가 절대 부족하여 영업 활동이 크게 어려워 질 것으로 예상됨</t>
    <phoneticPr fontId="9" type="noConversion"/>
  </si>
  <si>
    <t>101108</t>
    <phoneticPr fontId="9" type="noConversion"/>
  </si>
  <si>
    <t>경영 위험</t>
    <phoneticPr fontId="9" type="noConversion"/>
  </si>
  <si>
    <t>경영진</t>
    <phoneticPr fontId="9" type="noConversion"/>
  </si>
  <si>
    <t>경영진의 업계 경험 및 평판과 경영능력 평가</t>
    <phoneticPr fontId="9" type="noConversion"/>
  </si>
  <si>
    <t>&lt;경영진&gt;
▶ 경영자 및 주요 경영진의 동 업계 경력 및 그에 따른 업계에서의 평판
▶ 경영진의 전문성
- Career Path의 업무 유관성
- 주요 경력 및 과거에 성취했던 성과
- 업무 유관 지식의 지속적 학습 및 자기 개발
▶ 경영 관리 능력
- 대표자의 관리 성향, 대외 교섭력
- 위기 관리 능력 : 과거 위기 극복 경험
- 종업원과의 원활한 의사 소통
▶ 경영 전념도
- 경영자의 업무 참여 및 몰입 정도 및 기업 경영에 대한 책임감
- 동업자 관계에 따른 위험, 후계자 양성</t>
    <phoneticPr fontId="9" type="noConversion"/>
  </si>
  <si>
    <t>경영자 및 주요 경영진은 업계 경험 15년 이상이며, 경영 관리 능력도 매우 우수함
경영진의 대외교섭력이 우수하고, 동업자 관계에 따른 위험이 없음</t>
    <phoneticPr fontId="9" type="noConversion"/>
  </si>
  <si>
    <t>경영자 및 주요 경영진은 업계 경험 10년 이상이며, 경영 관리 능력도 높은 편임
경영진의 대외교섭력이 원만하고, 동업자 관계에 따른 위험이 거의 없음</t>
    <phoneticPr fontId="9" type="noConversion"/>
  </si>
  <si>
    <t>경영자 및 주요 경영진은 업계 경험 7년 이상이며, 경영 관리 능력도 평범한 수준임
경영진의 대외교섭력이 보통이고, 동업자 관계에 따른 위험이 다소 존재함</t>
    <phoneticPr fontId="9" type="noConversion"/>
  </si>
  <si>
    <t>경영자 및 주요 경영진은 업계 경험 5년 이상이며, 경영 관리 능력이 다소 떨어짐
경영진의 대외교섭력이 다소 미흡하고, 동업자 관계에 따른 위험이 상존하고 있음</t>
    <phoneticPr fontId="9" type="noConversion"/>
  </si>
  <si>
    <t>최고 경영자의 업계 경험이 3년 이상이며, 경영 관리 능력이 낮은 수준임
경영진이 대외교섭활동을 거의 하지 않고, 동업자 관계가 복잡하여 그에 따른 위험이 발생할 가능성이 매우 높음</t>
    <phoneticPr fontId="9" type="noConversion"/>
  </si>
  <si>
    <t>최고 경영자의 업계 경험이 3년 미만이며, 경영관리 능력이 매우 낮은 수준임
동업자 관계나 후계자 문제 등으로 인해 정상적인 경영이 어려운 상황에 처할 가능성이 농후함</t>
    <phoneticPr fontId="9" type="noConversion"/>
  </si>
  <si>
    <t>101109</t>
    <phoneticPr fontId="9" type="noConversion"/>
  </si>
  <si>
    <t>경영 위험</t>
    <phoneticPr fontId="9" type="noConversion"/>
  </si>
  <si>
    <t>경영 구조</t>
    <phoneticPr fontId="9" type="noConversion"/>
  </si>
  <si>
    <t>지배 구조</t>
    <phoneticPr fontId="9" type="noConversion"/>
  </si>
  <si>
    <t>기업 활동의 불확실성에 영향을 주는 경영권 문제를 평가</t>
    <phoneticPr fontId="9" type="noConversion"/>
  </si>
  <si>
    <t>&lt;지배 구조&gt;
▶ 투명한 의사결정 구조(사외 이사 제도 등) 
▶ 경영권 방어를 위한 안정적 지분 확보
▶ 경영권 분쟁 경험 또는 대주주의 잦은 변경
▶ 자금 담당자 등 주요 직원 및 경영진의 빈번한 교체
▶ 계열사 지원 여부
▶ 대주주 사적 자금 유용 여부(대주주 앞 대여금, 가지급금 등)</t>
    <phoneticPr fontId="9" type="noConversion"/>
  </si>
  <si>
    <t>기업경영 투명성이 매우 우수하며, 대주주가 최고 수준의 자금력을 보유하고 있고 지속적인 자금 지원이 가능함
부실 계열사에 대한 부담이 전혀 없음</t>
    <phoneticPr fontId="9" type="noConversion"/>
  </si>
  <si>
    <t>기업경영 투명성이 양호한 수준이며, 대주주가 양호한 자금력 및 자금 지원 의지가 있음
부실 계열사에 대한 부담이 없음</t>
    <phoneticPr fontId="9" type="noConversion"/>
  </si>
  <si>
    <t>기업경영 투명성이 보통 수준이며, 대주주의 자금력과 경영권의 안정성이 평균 수준임</t>
    <phoneticPr fontId="9" type="noConversion"/>
  </si>
  <si>
    <t>기업경영 투명성이 미흡하며, 대주주의 자금력 및 경영권의 안정성이 열위한 수준임
부실 계열사에 대한 부담이 다소 존재함</t>
    <phoneticPr fontId="9" type="noConversion"/>
  </si>
  <si>
    <t>경영권 관련 분쟁이 발생하였거나 현재 발생 중으로 재연될 가능성이 있음
부실 계열사에 대한 지원 가능성이 상존하며, 대주주의 사적 자금 유용 사례가 있음</t>
    <phoneticPr fontId="9" type="noConversion"/>
  </si>
  <si>
    <t>대주주 및 과점주주의 정체성이 불명확하고 대주주 및 최고 경영진의 교체가 빈번함
부실 계열사에 대한 지원이 적극적으로 이루어짐</t>
    <phoneticPr fontId="9" type="noConversion"/>
  </si>
  <si>
    <t>101110</t>
    <phoneticPr fontId="9" type="noConversion"/>
  </si>
  <si>
    <t>계열/관계사</t>
    <phoneticPr fontId="9" type="noConversion"/>
  </si>
  <si>
    <t>계열 및 관계사에 의한 예상 위험 정도를 평가</t>
    <phoneticPr fontId="9" type="noConversion"/>
  </si>
  <si>
    <t>&lt;계열/관계사&gt;
▶ 해외현지 법인 포함
▶ 주요 계열사 및 관계사의 당행 또는 외부 신용등급
▶ 계열사의 산업 포트폴리오
▶ 계열사 및 관계사 간 내부거래 정도
▶ 계열사 간 자본출자관계
▶ 우발 채무 정도 및 실현가능성
▶ 직접 자금 지원 정도
[지주회사] 현금흐름의 자회사에 대한 종속성, 핵심 자회사의 신용평가등급, 자회사로부터의 지원 수준</t>
    <phoneticPr fontId="9" type="noConversion"/>
  </si>
  <si>
    <t>계열사 신용도가 매우 우량하여 계열사로부터의 직간접적 자금지원 가능성이 있음
계열 주 업종 산업이 성장 추세를 유지하고 있음</t>
    <phoneticPr fontId="9" type="noConversion"/>
  </si>
  <si>
    <t>계열사 신용도가 대체로 우량하고 계열 주 업종의 산업 전망이 긍정적이며 산업 포트폴리오가 양호함</t>
    <phoneticPr fontId="9" type="noConversion"/>
  </si>
  <si>
    <t>계열사 없음</t>
    <phoneticPr fontId="9" type="noConversion"/>
  </si>
  <si>
    <t>일부 부실 계열사가 존재하나 출자 규모 및 대위변제 등의 우발 채무 위험은 제한적이며 계열사 매출비중이 높고 계열 주 업종 산업 전망이 다소 부정적임</t>
    <phoneticPr fontId="9" type="noConversion"/>
  </si>
  <si>
    <t>다수의 부실 계열사가 존재하며 계열사에 대한 출자 및 채무 보증이 과다함</t>
    <phoneticPr fontId="9" type="noConversion"/>
  </si>
  <si>
    <t>최근 계열사 부도로 재무 및 영업사항에 부정적인 영향이 발생함</t>
    <phoneticPr fontId="9" type="noConversion"/>
  </si>
  <si>
    <t>101111</t>
    <phoneticPr fontId="9" type="noConversion"/>
  </si>
  <si>
    <t>경영 위험</t>
    <phoneticPr fontId="9" type="noConversion"/>
  </si>
  <si>
    <t>재무 관리</t>
    <phoneticPr fontId="9" type="noConversion"/>
  </si>
  <si>
    <t>자금 조달 능력</t>
    <phoneticPr fontId="9" type="noConversion"/>
  </si>
  <si>
    <t>필요 자금 조달 능력을 평가</t>
    <phoneticPr fontId="9" type="noConversion"/>
  </si>
  <si>
    <t>&lt;자금 조달 능력&gt;
[외감 대기업/중소기업]
▶ 무보증 회사채 발행 여부 및 등급
▶ 유상증자 가능성
▶ 금융기관 차입 여력 및 차입 조건
[비외감기업]
▶ 금융기관 차입 여력 및 차입 조건
▶ 관계사 및 제 3자를 통한 자금 지원 가능성
▶ 차주 및 대표자의 보유 자산 가치 및 환금성
▶ 대외 신인도
[참조지표]
유형자산, 투자자산, 총차입금, 외부신용등급</t>
    <phoneticPr fontId="9" type="noConversion"/>
  </si>
  <si>
    <t>최근 6개월 이내에 해외시장에서 주식을 발행하였으며 대주주의 유상증자 참여 능력이 매우 높은 수준임
신용보증 여력 등이 풍부하여 차입 여력이 우수함</t>
    <phoneticPr fontId="9" type="noConversion"/>
  </si>
  <si>
    <t>대주주의 유상증자 참여 능력이 높은 수준임
대출한도소진율, 담보력 등을 감안한 추가 차입 여력이 양호하고, 대외 신인도가 우수함</t>
    <phoneticPr fontId="9" type="noConversion"/>
  </si>
  <si>
    <t>대주주가 자금부족 시 유상증자를 단행할 능력이 있음
대출한도소진율, 담보력 등을 감안한 추가 차입 여력이 다소 있고, 대외 신인도가 보통 수준임</t>
    <phoneticPr fontId="9" type="noConversion"/>
  </si>
  <si>
    <t>최근 2년 이내에 유상증자를 하지 않았으며 대주주의 증자 참여 능력이 떨어지는 수준임
추가 차입 여력이 없으나 기존 대출금 이자는 영업활동에 의한 자체 자금으로 상환이 가능하고, 대외 신인도가 다소 떨어짐</t>
    <phoneticPr fontId="9" type="noConversion"/>
  </si>
  <si>
    <t>최근 3년 이내에 유상증자를 하지 않았으며 대주주의 증자 참여 능력이 매우 떨어지는 수준임
추가 대출로 기존 대출금 이자를 상환하고, 대외 신인도가 부정적임</t>
    <phoneticPr fontId="9" type="noConversion"/>
  </si>
  <si>
    <t>연체, 당좌부도 등 신용상태 악화로 추가 차입 능력이 없고, 대외 신인도가 매우 부정적임</t>
    <phoneticPr fontId="9" type="noConversion"/>
  </si>
  <si>
    <t>101112</t>
    <phoneticPr fontId="9" type="noConversion"/>
  </si>
  <si>
    <t>우발적 재무 위험</t>
    <phoneticPr fontId="9" type="noConversion"/>
  </si>
  <si>
    <t>부외 부채, 우발 채무에 따른 위험을 평가</t>
    <phoneticPr fontId="9" type="noConversion"/>
  </si>
  <si>
    <t>&lt;우발적 재무 위험&gt;
▶ 파악 가능한 부외 부채의 규모
▶ 소송이나 지급 보증, 담보 제공 등에 따른 우발 채무 발생 가능성
▶ 외환 리스크
[참고]
 재무제표 주석 사항 중 우발 채무</t>
    <phoneticPr fontId="9" type="noConversion"/>
  </si>
  <si>
    <t>부외 부채나 우발 채무가 전무하거나, 부외부채나 우발 채무를 감안하더라도 완전하게 우발적 위험을 감당할 수 있음</t>
    <phoneticPr fontId="9" type="noConversion"/>
  </si>
  <si>
    <t>부외 부채나 우발 채무가 소액 존재하지만, 부외부채나 우발 채무를 감안하더라도 우발적 위험에 대처할 수 있음</t>
    <phoneticPr fontId="9" type="noConversion"/>
  </si>
  <si>
    <t>부외 부채나 우발 채무가 다소 존재하며, 부외부채나 우발 채무를 감안하더라도 재무적 곤경에 빠지지 않을 것으로 예상됨</t>
    <phoneticPr fontId="9" type="noConversion"/>
  </si>
  <si>
    <t>부외 부채나 우발 채무가 존재하며, 부외부채나 우발 채무를 감안할 경우 재무적 곤경에 빠질 가능성이 존재함</t>
    <phoneticPr fontId="9" type="noConversion"/>
  </si>
  <si>
    <t>일정 수준 이상의 부외 부채나 우발 채무가 존재하며, 부채로 확정될 가능성이 높아 재무적 곤경에 빠질 가능성이 상존함</t>
    <phoneticPr fontId="9" type="noConversion"/>
  </si>
  <si>
    <t>대규모의 부외 부채나 우발 채무가 존재하며, 가까운 미래에 부채로 확정될 가능성이 매우 높아 재무적 곤경에 빠질 가능성이 확실시됨</t>
    <phoneticPr fontId="9" type="noConversion"/>
  </si>
  <si>
    <t>101113</t>
    <phoneticPr fontId="9" type="noConversion"/>
  </si>
  <si>
    <t>신뢰도</t>
    <phoneticPr fontId="9" type="noConversion"/>
  </si>
  <si>
    <t>업체 신뢰도</t>
    <phoneticPr fontId="9" type="noConversion"/>
  </si>
  <si>
    <t>차주의 업력과 거래 실적 및 재무자료의 신뢰성 평가</t>
    <phoneticPr fontId="9" type="noConversion"/>
  </si>
  <si>
    <t>&lt;신뢰도&gt;
▶ 기업 형태, 업력
▶ 거래 신뢰성
- 여신 거래 기간 및 여신 업무에 대한 협조 수준
- 최근 6개월 이내의 연체 및 대지급, 당좌부도 발생 유무 등
- 기타 금융 거래 시의 약정 및 약속 이행 준수 여부
▶ 재무제표 감사 의견
▶ 분식 가능성의 판단
▶ 기업에 대한 사회적 평판</t>
    <phoneticPr fontId="9" type="noConversion"/>
  </si>
  <si>
    <t>기업의 업력이 20년 이상이며 금융 거래 신뢰도가 매우 우수한 수준임
감사의견이 적정이며 분식 가능성이 낮은 수준임</t>
    <phoneticPr fontId="9" type="noConversion"/>
  </si>
  <si>
    <t>기업의 업력이 15년 이상이며 금융 거래 신뢰도가 양호한 수준임
감사의견이 적정이며 분식 가능성이 낮은 수준임</t>
    <phoneticPr fontId="9" type="noConversion"/>
  </si>
  <si>
    <t>기업의 업력이 10년 이상이며 금융 거래 신뢰도가 평균 수준임
비외감 기업이 제출한 재무자료가 신뢰할 만한 수준이고 분식 가능성이 낮은 수준임</t>
    <phoneticPr fontId="9" type="noConversion"/>
  </si>
  <si>
    <t>기업의 업력이 5년 이상이며 금융 거래 신뢰도가 평균 이하 수준임
감사의견이 한정임</t>
    <phoneticPr fontId="9" type="noConversion"/>
  </si>
  <si>
    <t>기업의 업력이 5년 미만이며 금융 거래 신뢰도가 낮은 수준임
비외감 기업이 제출한 재무자료가 분식의 가능성이 있거나 신뢰하지 못할 수준임</t>
    <phoneticPr fontId="9" type="noConversion"/>
  </si>
  <si>
    <t>기업의 업력이 5년 미만이며 금융 거래 신뢰도가 매우 낮은 수준임
비외감 기업이 제출한 재무자료가 분식의 가능성이 높고, 의심스러운 수준임</t>
    <phoneticPr fontId="9" type="noConversion"/>
  </si>
  <si>
    <t>IR 등급</t>
    <phoneticPr fontId="9" type="noConversion"/>
  </si>
  <si>
    <t>평가 업체가 포함되는 산업의 체계적 위험 평가</t>
    <phoneticPr fontId="9" type="noConversion"/>
  </si>
  <si>
    <t>&lt;IR 등급&gt;
산업 환경/경쟁 상황/성장성 등을 분석하여 NICE평가정보에서 제공하는 산업등급으로 평가
▶ 산업 환경 : 산업 관련 규제 및 정부 정책 동향, 노동시장, 경기 변동에 대한 취약성
▶ 경쟁 상황 : 산업 내 경쟁 구조, 신규 진입장벽, 대체품의 위협 여부, 상품의 시장수급 구조(과열 경쟁 가능성)
▶ 성장성 : 해외 및 국내 시장 동향 및 향후 수요 전망, 주력 제품의 수명 주기
[참고]
지주회사 : 주력회사 업종 산업등급
[참조지표]
IR 등급 :
1등급(산업의 성장요소, 경쟁요소, 환경요소에 의한 종합 전망 시 소속업체의 사업환경이 최상임
2등급(산업의 성장요소, 경쟁요소, 환경요소에 의한 종합 전망 시 소속업체의 사업환경이 매우 우수함
3등급(산업의 성장요소, 경쟁요소, 환경요소에 의한 종합 전망 시 소속업체의 사업환경이 우수함
4등급(산업의 종합 전망이 보통이며 성장요소, 경쟁요소, 환경요소 중 둘 이상이 우수함
5등급(산업의 종합 전망이 보통이며 성장요소, 경쟁요소, 환경요소 중 하나가 우수함
6등급(산업의 종합 전망이 보통이며 성장요소, 경쟁요소, 환경요소 중 하나가 미흡함
7등급(산업의 종합 전망이 보통이며 성장요소, 경쟁요소, 환경요소 중 둘 이상이 미흡함
8등급(산업의 종합 전망이 열위하며 성장요소, 경쟁요소, 환경요소 중 하나가 불량함
9등급(산업의 종합 전망이 열위하며 성장요소, 경쟁요소, 환경요소 중 둘 이상이 불량함
10등급(산업의 성장요소, 경쟁요소, 환경요소에 의한 종합 전망 시 소속업체의 사업환경이 매우 불량함</t>
    <phoneticPr fontId="9" type="noConversion"/>
  </si>
  <si>
    <t>1등급</t>
    <phoneticPr fontId="9" type="noConversion"/>
  </si>
  <si>
    <t>2•3등급</t>
    <phoneticPr fontId="9" type="noConversion"/>
  </si>
  <si>
    <t>4•5등급(무등급)</t>
    <phoneticPr fontId="9" type="noConversion"/>
  </si>
  <si>
    <t>진입장벽이 높지 않으며 일부 경쟁이 있는 시장 구조</t>
    <phoneticPr fontId="9" type="noConversion"/>
  </si>
  <si>
    <t>진입장벽이 일부 존재하나 크지 않으며 경쟁적인 시장 구조</t>
    <phoneticPr fontId="9" type="noConversion"/>
  </si>
  <si>
    <t>경쟁이 매우 치열한 시장 구조</t>
    <phoneticPr fontId="9" type="noConversion"/>
  </si>
  <si>
    <t>101103</t>
    <phoneticPr fontId="9" type="noConversion"/>
  </si>
  <si>
    <t>경기 민감도</t>
    <phoneticPr fontId="9" type="noConversion"/>
  </si>
  <si>
    <t>경기 침체 시 수요 패턴을 평가</t>
    <phoneticPr fontId="9" type="noConversion"/>
  </si>
  <si>
    <t>&lt;경기 민감도&gt;
경기 변동의 국면에 따른 반응 양태를 구분하여 경기 변동에 순행하는 산업 여부 및 민감도 여부를 파악, 경기 부침에 따라 동 산업에서 사업을 영위하는 기업의 실적이 변화하는 정도를 평가
▶ 경기 반응 양태
▶ 수요의 패턴</t>
    <phoneticPr fontId="9" type="noConversion"/>
  </si>
  <si>
    <t>경기 침체 시에도 수요 성장세 지속</t>
    <phoneticPr fontId="9" type="noConversion"/>
  </si>
  <si>
    <t>경기 침체 시에도 수요가 안정적</t>
    <phoneticPr fontId="9" type="noConversion"/>
  </si>
  <si>
    <t>경기 침체 시 수요가 현상 유지</t>
    <phoneticPr fontId="9" type="noConversion"/>
  </si>
  <si>
    <t>경기 침체 시 수요가 소폭 감소</t>
    <phoneticPr fontId="9" type="noConversion"/>
  </si>
  <si>
    <t>경기 침체 시 수요가 감소</t>
    <phoneticPr fontId="9" type="noConversion"/>
  </si>
  <si>
    <t>경기 침체 시 수요가 대폭 감소</t>
    <phoneticPr fontId="9" type="noConversion"/>
  </si>
  <si>
    <t>101104</t>
    <phoneticPr fontId="9" type="noConversion"/>
  </si>
  <si>
    <t>영업 위험</t>
    <phoneticPr fontId="9" type="noConversion"/>
  </si>
  <si>
    <t>영업 자원</t>
    <phoneticPr fontId="9" type="noConversion"/>
  </si>
  <si>
    <t>기술 수준/입지/설비 수준</t>
    <phoneticPr fontId="9" type="noConversion"/>
  </si>
  <si>
    <t>기술 수준, 사업장 및 물류시설의 입지 적정성, 설비 수준에 대한 평가</t>
    <phoneticPr fontId="9" type="noConversion"/>
  </si>
  <si>
    <t>&lt;기술 수준&gt;
▶ 특허, 공인 인증, 신기술 보유, 독자적 기술 개발 능력, 신상품 개발, 대외 수상 실적 등 보유 기술 및 서비스 수준
▶ R&amp;D 현황, 기술 제휴, 자체 연구소 운영 여부 및 실태를 통한 기술 및 서비스 개선 노력
[참조지표]
연구비/매출액
&lt;입지&gt;
▶ 사업장 및 물류시설의 입지 적정성
- 접근 용이성
- 교통 편의성
&lt;설비 수준&gt;
▶ 설비 규모 및 수준
▶ 자동화 설비 투자 수준
▶ 시설 투자 및 유지 보수(리모델링)
[참고]
유통업 : 전문점 밀집 지역/교통 편의성이 우수한 지역/유동인구 및 상주인구가 풍부한 지역
- 기타 서비스업 : 유동인구 및 상주인구가 풍부한 지역/관광지역 인접성, 전망/상권 밀집지역
[참조지표]
설비 수준 -&gt; 총자산수익율, 유형자산, 감가상각비</t>
    <phoneticPr fontId="9" type="noConversion"/>
  </si>
  <si>
    <t>동 업계 내 선도적인 기술력 및 서비스 수준을 보유하고 있음
지속적인 연구 개발 투자를 통해 적극적으로 기술력 향상을 위해 노력하고 있음
사업장 및 물류시설의 입지가 매우 우수하며 동 업계 내 최상의 설비를 갖추고 있음</t>
    <phoneticPr fontId="9" type="noConversion"/>
  </si>
  <si>
    <t>동 업계 내 우위의 기술력 및 서비스 수준을 보유하고 있음
지속적인 연구 개발 투자를 통해 기술력 향상을 위해 노력하고 있음
사업장 및 물류시설의 입지가 우수하며 동 업계 내 상위의 설비를 갖추고 있음</t>
    <phoneticPr fontId="9" type="noConversion"/>
  </si>
  <si>
    <t>동 업계 내 평균 수준의 기술력 및 서비스 수준을 보유하고 있음
독자적 기술 개발은 어려우나 기술 및 품질 개선을 위한 연구 개발 투자가 평균 수준으로 이루어지고 있음
사업장 및 물류시설의 입지가 양호하며 동 업계 내 평균 수준의 설비를 갖추고 있음</t>
    <phoneticPr fontId="9" type="noConversion"/>
  </si>
  <si>
    <t>기술력 및 서비스 수준을 보유하고 있긴 하나 환경 변화에 대한 대응력이 미약함
기술 및 품질 개선을 위한 연구 개발 투자가 미흡함
사업장 및 물류시설의 입지가 다소 미흡하며 설비의 유지 보수가 필요함</t>
    <phoneticPr fontId="9" type="noConversion"/>
  </si>
  <si>
    <t>기술력 및 서비스 수준이 열악하고, 독자적인 기술 개발력이 부족함
연구 개발 투자가 낮은 수준이어서 향후 경쟁력 약화가 예상됨
사업장 및 물류시설의 입지가 취약하며 설비의 개선이 필요함</t>
    <phoneticPr fontId="9" type="noConversion"/>
  </si>
  <si>
    <t>기술력 및 서비스 수준이 매우 열악함
기술력의 부재로 생산에 차질이 발생하고, 그에 따라 제품 및 서비스 품질이 매우 불량한 수준임
사업장 및 물류시설의 입지가 매우 취약하며 설비의 개선이 시급한 상황임</t>
    <phoneticPr fontId="9" type="noConversion"/>
  </si>
  <si>
    <t>101105</t>
    <phoneticPr fontId="9" type="noConversion"/>
  </si>
  <si>
    <t>구매 위험/생산 위험</t>
    <phoneticPr fontId="9" type="noConversion"/>
  </si>
  <si>
    <t>원자재 및 상품 등의 구매 단계에서 발생하는 위험 및 생산 단계에서 발생하는 위험 평가</t>
    <phoneticPr fontId="9" type="noConversion"/>
  </si>
  <si>
    <t>&lt;구매 위험&gt;
▶ 구매 안정성
- 환율, 유가 등의 외적 요인으로 인한 구매 물량 및 가격 변동성
- 구매처의 다변화
- 고정 거래처 확보 여부
▶ 구매 효율성
- 가격 교섭력
- 현금 결제 비율, 외상 기간 등 결제 조건
[참조지표]
매출원가율
&lt;생산 위험&gt;
▶ 상품, 제품의 품질 수준
▶ 제품 수요 변동성에 따른 가동률 수준, 하청업체 관리 수준(통제력)
▶ 생산을 위한 설비 효율성
- 최신 설비시설의 도입 및 지속적 설비 개보수 활동
- 시설과 장비의 원활한 가동률
- 수율 및 불량률
- [참고]
건설업 : 하자보수 빈도, 총 공사비 대비 하자보수비 발생액, 하도급 비중, 이월공사물량비중
[참조지표]
매입채무회전율, 재고자산회전율</t>
    <phoneticPr fontId="9" type="noConversion"/>
  </si>
  <si>
    <t>구매처 다변화로 적기에 원자재 조달이 가능하며 외적 요인으로 인한 구매 변동성이 전혀 없음
고정 거래처가 매우 충분히 확보되어 있고 가격 교섭력 및 결제 조건이 매우 우수함
제품의 품질이 매우 우수하며 제품 수요 변동성에 따른 가동률 수준이 매우 적정하고 수율 및 불량률 등 생산효율성이 뛰어남</t>
    <phoneticPr fontId="9" type="noConversion"/>
  </si>
  <si>
    <t>구매처 다변화로 원자재의 안정적인 조달이 가능하며 외적 요인으로 인한 구매 변동성이 약간 있음
고정 거래처가 충분히 확보되어 있고 가격 교섭력 및 결제조건이 우수함
제품의 품질이 우수하며 제품 수요 변동성에 따른 가동률 조정이 가능하고 수율 및 불량률 등 생산효율성이 양호함</t>
    <phoneticPr fontId="9" type="noConversion"/>
  </si>
  <si>
    <t>구매처가 다변화되어 있지는 않지만 고정 구매처를 통해 원활하게 조달 가능하고 가격 및 결제조건을 유리하게 결정할 수 있음
제품의 품질이 보통 수준이며 제품 수요 변동성에 따라 적정 수준으로 생산 가능함</t>
    <phoneticPr fontId="9" type="noConversion"/>
  </si>
  <si>
    <t>구매처가 다변화되어 있지는 않지만 고정 구매처를 통해 필요 물량 조달 가능하나 가격 및 결제조건 결정 권한이 불리한 입장임
제품의 품질이 미흡하며 설비 보수 등을 통해 수율 및 불량률 등 생산효율성 향상을 위해 노력해야 함</t>
    <phoneticPr fontId="9" type="noConversion"/>
  </si>
  <si>
    <t>공급업체가 제한되어 있어 물량 부족 현상이 자주 발생하고 가격 및 결제조건에 대한 리스크가 큰 편임
외적 요인으로 인한 구매 물량 및 가격 변동성이 크게 있음
제품의 품질이 취약하며 설비 낙후 등의 문제로 가동률이 떨어지고 불량률 등 생산효율성 저하로 생산 위험에 대한 관리가 필요함</t>
    <phoneticPr fontId="9" type="noConversion"/>
  </si>
  <si>
    <t>공급업체가 극히 제한되어 있어 물량 부족 현상이 빈번하고 가격 및 결제조건의 매우 불리함
외적 요인으로 인한 구매 물량 및 가격 변동성이 매우 크게 있음
제품의 품질이 매우 취약하며 설비 등의 제반 사항 불충분으로 정상적인 생산활동이 어려움</t>
    <phoneticPr fontId="9" type="noConversion"/>
  </si>
  <si>
    <t>101106</t>
    <phoneticPr fontId="9" type="noConversion"/>
  </si>
  <si>
    <t>판매 위험</t>
    <phoneticPr fontId="9" type="noConversion"/>
  </si>
  <si>
    <t>판매 경쟁력</t>
    <phoneticPr fontId="9" type="noConversion"/>
  </si>
  <si>
    <t>주요 판매 제품 및 서비스의 차별화 수준과 가격 경쟁력 및 시장에서의 경쟁적 지위를 평가</t>
    <phoneticPr fontId="9" type="noConversion"/>
  </si>
  <si>
    <t>&lt;판매 경쟁력&gt;
▶ 주요 판매 제품 및 서비스의 차별화 수준
- 주요 판매 제품의 품질 수준과 수명
- 브랜드 인지도 및 충성도
- 서비스 수준
▶ 가격 경쟁력
▶ 영업 대상 지역의 광범위성
▶ 공급처 및 고객의 수 및 그에 따른 경쟁 수준, 잠재적 경쟁자, 대체품의 접근 용이성
▶ 독점, 과점, 자유경쟁 등 경쟁 구조
▶ 시장 점유율 및 시장 지배력(시장 수요 및 가격에 대한 영향력)
[참고]
건설업: 시공능력 평가액 순위</t>
    <phoneticPr fontId="9" type="noConversion"/>
  </si>
  <si>
    <t>제품 및 서비스의 차별화 수준이 우수하며 가격 경쟁력이 탁월하고, 시장 점유율이 매우 높은 수준임
경쟁업체 수가 제한되어 있으며 대체 상품/대체 서비스 출현이 매우 어려움</t>
    <phoneticPr fontId="9" type="noConversion"/>
  </si>
  <si>
    <t>제품 및 서비스의 차별화 수준과 가격 경쟁력이 양호하며, 시장 점유율이 높은 편임
경쟁업체 수가 적은 편이며, 대체 상품/대체 서비스 출현 가능성이 낮은 편임</t>
    <phoneticPr fontId="9" type="noConversion"/>
  </si>
  <si>
    <t>제품 및 서비스의 차별화 수준이 보통 수준이나 가격 경쟁력이 양호한 편이며, 시장 점유율도 보통 수준임
경쟁업체 수는 적은 편이나, 대체 상품/대체 서비스 출현 가능성이 존재함</t>
    <phoneticPr fontId="9" type="noConversion"/>
  </si>
  <si>
    <t>제품 및 서비스의 차별화 수준이 미흡하며 가격 경쟁력도 평균 이하이며, 시장 점유율이 낮은 수준임
경쟁업체 수가 증가하고 있고 대체 상품/대체 서비스 출현 가능성이 높이 존재함</t>
    <phoneticPr fontId="9" type="noConversion"/>
  </si>
  <si>
    <t>제품 및 서비스 차별화 수준이 열등하며 가격경쟁력도 낮은 편이고, 향후 시장 점유율이 줄어들 것으로 예상됨
영업지역 내의 제품 및 서비스공급 경쟁이 심화되고 있고, 대체 상품/대체 서비스가 지속적으로 나타나고 있음</t>
    <phoneticPr fontId="9" type="noConversion"/>
  </si>
  <si>
    <t>제품 및 서비스의 품질과 가격 경쟁력이 매우 열악하며 시장 점유율도 매우 열악하여 정상적인 영업활동을 하기에 어려울 것으로 예상됨</t>
    <phoneticPr fontId="9" type="noConversion"/>
  </si>
  <si>
    <t>101107</t>
    <phoneticPr fontId="9" type="noConversion"/>
  </si>
  <si>
    <t>판매 안정성</t>
    <phoneticPr fontId="9" type="noConversion"/>
  </si>
  <si>
    <t>재화 또는 용역의 판매가 안정적으로 이루어질 수 있는지 평가</t>
    <phoneticPr fontId="9" type="noConversion"/>
  </si>
  <si>
    <t>경영자 및 주요 경영진은 업계 경험 15년 이상이며, 경영 관리 능력도 매우 우수함
경영진의 대외교섭력이 우수하고, 동업자 관계에 따른 위험이 없음</t>
    <phoneticPr fontId="9" type="noConversion"/>
  </si>
  <si>
    <t>경영자 및 주요 경영진은 업계 경험 10년 이상이며, 경영 관리 능력도 높은 편임
경영진의 대외교섭력이 원만하고, 동업자 관계에 따른 위험이 거의 없음</t>
    <phoneticPr fontId="9" type="noConversion"/>
  </si>
  <si>
    <t>경영자 및 주요 경영진은 업계 경험 7년 이상이며, 경영 관리 능력도 평범한 수준임
경영진의 대외교섭력이 보통이고, 동업자 관계에 따른 위험이 다소 존재함</t>
    <phoneticPr fontId="9" type="noConversion"/>
  </si>
  <si>
    <t>경영자 및 주요 경영진은 업계 경험 5년 이상이며, 경영 관리 능력이 다소 떨어짐
경영진의 대외교섭력이 다소 미흡하고, 동업자 관계에 따른 위험이 상존하고 있음</t>
    <phoneticPr fontId="9" type="noConversion"/>
  </si>
  <si>
    <t>최고 경영자의 업계 경험이 3년 이상이며, 경영 관리 능력이 낮은 수준임
경영진이 대외교섭활동을 거의 하지 않고, 동업자 관계가 복잡하여 그에 따른 위험이 발생할 가능성이 매우 높음</t>
    <phoneticPr fontId="9" type="noConversion"/>
  </si>
  <si>
    <t>최고 경영자의 업계 경험이 3년 미만이며, 경영관리 능력이 매우 낮은 수준임
동업자 관계나 후계자 문제 등으로 인해 정상적인 경영이 어려운 상황에 처할 가능성이 농후함</t>
    <phoneticPr fontId="9" type="noConversion"/>
  </si>
  <si>
    <t>101109</t>
    <phoneticPr fontId="9" type="noConversion"/>
  </si>
  <si>
    <t>경영 구조</t>
    <phoneticPr fontId="9" type="noConversion"/>
  </si>
  <si>
    <t>지배 구조</t>
    <phoneticPr fontId="9" type="noConversion"/>
  </si>
  <si>
    <t>기업 활동의 불확실성에 영향을 주는 경영권 문제를 평가</t>
    <phoneticPr fontId="9" type="noConversion"/>
  </si>
  <si>
    <t>&lt;지배 구조&gt;
▶ 투명한 의사결정 구조(사외 이사 제도 등) 
▶ 경영권 방어를 위한 안정적 지분 확보
▶ 경영권 분쟁 경험 또는 대주주의 잦은 변경
▶ 자금 담당자 등 주요 직원 및 경영진의 빈번한 교체
▶ 계열사 지원 여부
▶ 대주주 사적 자금 유용 여부(대주주 앞 대여금, 가지급금 등)</t>
    <phoneticPr fontId="9" type="noConversion"/>
  </si>
  <si>
    <t>기업경영 투명성이 매우 우수하며, 대주주가 최고 수준의 자금력을 보유하고 있고 지속적인 자금 지원이 가능함
부실 계열사에 대한 부담이 전혀 없음</t>
    <phoneticPr fontId="9" type="noConversion"/>
  </si>
  <si>
    <t>기업경영 투명성이 양호한 수준이며, 대주주가 양호한 자금력 및 자금 지원 의지가 있음
부실 계열사에 대한 부담이 없음</t>
    <phoneticPr fontId="9" type="noConversion"/>
  </si>
  <si>
    <t>기업경영 투명성이 보통 수준이며, 대주주의 자금력과 경영권의 안정성이 평균 수준임</t>
    <phoneticPr fontId="9" type="noConversion"/>
  </si>
  <si>
    <t>기업경영 투명성이 미흡하며, 대주주의 자금력 및 경영권의 안정성이 열위한 수준임
부실 계열사에 대한 부담이 다소 존재함</t>
    <phoneticPr fontId="9" type="noConversion"/>
  </si>
  <si>
    <t>경영권 관련 분쟁이 발생하였거나 현재 발생 중으로 재연될 가능성이 있음
부실 계열사에 대한 지원 가능성이 상존하며, 대주주의 사적 자금 유용 사례가 있음</t>
    <phoneticPr fontId="9" type="noConversion"/>
  </si>
  <si>
    <t>대주주 및 과점주주의 정체성이 불명확하고 대주주 및 최고 경영진의 교체가 빈번함
부실 계열사에 대한 지원이 적극적으로 이루어짐</t>
    <phoneticPr fontId="9" type="noConversion"/>
  </si>
  <si>
    <t>101110</t>
    <phoneticPr fontId="9" type="noConversion"/>
  </si>
  <si>
    <t>계열/관계사</t>
    <phoneticPr fontId="9" type="noConversion"/>
  </si>
  <si>
    <t>계열 및 관계사에 의한 예상 위험 정도를 평가</t>
    <phoneticPr fontId="9" type="noConversion"/>
  </si>
  <si>
    <t>&lt;계열/관계사&gt;
▶ 해외현지 법인 포함
▶ 주요 계열사 및 관계사의 당행 또는 외부 신용등급
▶ 계열사의 산업 포트폴리오
▶ 계열사 및 관계사 간 내부거래 정도
▶ 계열사 간 자본출자관계
▶ 우발 채무 정도 및 실현가능성
▶ 직접 자금 지원 정도
[지주회사] 현금흐름의 자회사에 대한 종속성, 핵심 자회사의 신용평가등급, 자회사로부터의 지원 수준</t>
    <phoneticPr fontId="9" type="noConversion"/>
  </si>
  <si>
    <t>계열사 신용도가 매우 우량하여 계열사로부터의 직간접적 자금지원 가능성이 있음
계열 주 업종 산업이 성장 추세를 유지하고 있음</t>
    <phoneticPr fontId="9" type="noConversion"/>
  </si>
  <si>
    <t>계열사 신용도가 대체로 우량하고 계열 주 업종의 산업 전망이 긍정적이며 산업 포트폴리오가 양호함</t>
    <phoneticPr fontId="9" type="noConversion"/>
  </si>
  <si>
    <t>계열사 없음</t>
    <phoneticPr fontId="9" type="noConversion"/>
  </si>
  <si>
    <t>일부 부실 계열사가 존재하나 출자 규모 및 대위변제 등의 우발 채무 위험은 제한적이며 계열사 매출비중이 높고 계열 주 업종 산업 전망이 다소 부정적임</t>
    <phoneticPr fontId="9" type="noConversion"/>
  </si>
  <si>
    <t>다수의 부실 계열사가 존재하며 계열사에 대한 출자 및 채무 보증이 과다함</t>
    <phoneticPr fontId="9" type="noConversion"/>
  </si>
  <si>
    <t>최근 계열사 부도로 재무 및 영업사항에 부정적인 영향이 발생함</t>
    <phoneticPr fontId="9" type="noConversion"/>
  </si>
  <si>
    <t>101111</t>
    <phoneticPr fontId="9" type="noConversion"/>
  </si>
  <si>
    <t>재무 관리</t>
    <phoneticPr fontId="9" type="noConversion"/>
  </si>
  <si>
    <t>자금 조달 능력</t>
    <phoneticPr fontId="9" type="noConversion"/>
  </si>
  <si>
    <t>필요 자금 조달 능력을 평가</t>
    <phoneticPr fontId="9" type="noConversion"/>
  </si>
  <si>
    <t>&lt;자금 조달 능력&gt;
[외감 대기업/중소기업]
▶ 무보증 회사채 발행 여부 및 등급
▶ 유상증자 가능성
▶ 금융기관 차입 여력 및 차입 조건
[비외감기업]
▶ 금융기관 차입 여력 및 차입 조건
▶ 관계사 및 제 3자를 통한 자금 지원 가능성
▶ 차주 및 대표자의 보유 자산 가치 및 환금성
▶ 대외 신인도
[참조지표]
유형자산, 투자자산, 총차입금, 외부신용등급</t>
    <phoneticPr fontId="9" type="noConversion"/>
  </si>
  <si>
    <t>최근 6개월 이내에 해외시장에서 주식을 발행하였으며 대주주의 유상증자 참여 능력이 매우 높은 수준임
신용보증 여력 등이 풍부하여 차입 여력이 우수함</t>
    <phoneticPr fontId="9" type="noConversion"/>
  </si>
  <si>
    <t>대주주의 유상증자 참여 능력이 높은 수준임
대출한도소진율, 담보력 등을 감안한 추가 차입 여력이 양호하고, 대외 신인도가 우수함</t>
    <phoneticPr fontId="9" type="noConversion"/>
  </si>
  <si>
    <t>대주주가 자금부족 시 유상증자를 단행할 능력이 있음
대출한도소진율, 담보력 등을 감안한 추가 차입 여력이 다소 있고, 대외 신인도가 보통 수준임</t>
    <phoneticPr fontId="9" type="noConversion"/>
  </si>
  <si>
    <t>최근 2년 이내에 유상증자를 하지 않았으며 대주주의 증자 참여 능력이 떨어지는 수준임
추가 차입 여력이 없으나 기존 대출금 이자는 영업활동에 의한 자체 자금으로 상환이 가능하고, 대외 신인도가 다소 떨어짐</t>
    <phoneticPr fontId="9" type="noConversion"/>
  </si>
  <si>
    <t>최근 3년 이내에 유상증자를 하지 않았으며 대주주의 증자 참여 능력이 매우 떨어지는 수준임
추가 대출로 기존 대출금 이자를 상환하고, 대외 신인도가 부정적임</t>
    <phoneticPr fontId="9" type="noConversion"/>
  </si>
  <si>
    <t>연체, 당좌부도 등 신용상태 악화로 추가 차입 능력이 없고, 대외 신인도가 매우 부정적임</t>
    <phoneticPr fontId="9" type="noConversion"/>
  </si>
  <si>
    <t>101112</t>
    <phoneticPr fontId="9" type="noConversion"/>
  </si>
  <si>
    <t>우발적 재무 위험</t>
    <phoneticPr fontId="9" type="noConversion"/>
  </si>
  <si>
    <t>부외 부채, 우발 채무에 따른 위험을 평가</t>
    <phoneticPr fontId="9" type="noConversion"/>
  </si>
  <si>
    <t>&lt;우발적 재무 위험&gt;
▶ 파악 가능한 부외 부채의 규모
▶ 소송이나 지급 보증, 담보 제공 등에 따른 우발 채무 발생 가능성
▶ 외환 리스크
[참고]
 재무제표 주석 사항 중 우발 채무</t>
    <phoneticPr fontId="9" type="noConversion"/>
  </si>
  <si>
    <t>부외 부채나 우발 채무가 전무하거나, 부외부채나 우발 채무를 감안하더라도 완전하게 우발적 위험을 감당할 수 있음</t>
    <phoneticPr fontId="9" type="noConversion"/>
  </si>
  <si>
    <t>부외 부채나 우발 채무가 소액 존재하지만, 부외부채나 우발 채무를 감안하더라도 우발적 위험에 대처할 수 있음</t>
    <phoneticPr fontId="9" type="noConversion"/>
  </si>
  <si>
    <t>부외 부채나 우발 채무가 다소 존재하며, 부외부채나 우발 채무를 감안하더라도 재무적 곤경에 빠지지 않을 것으로 예상됨</t>
    <phoneticPr fontId="9" type="noConversion"/>
  </si>
  <si>
    <t>부외 부채나 우발 채무가 존재하며, 부외부채나 우발 채무를 감안할 경우 재무적 곤경에 빠질 가능성이 존재함</t>
    <phoneticPr fontId="9" type="noConversion"/>
  </si>
  <si>
    <t>일정 수준 이상의 부외 부채나 우발 채무가 존재하며, 부채로 확정될 가능성이 높아 재무적 곤경에 빠질 가능성이 상존함</t>
    <phoneticPr fontId="9" type="noConversion"/>
  </si>
  <si>
    <t>대규모의 부외 부채나 우발 채무가 존재하며, 가까운 미래에 부채로 확정될 가능성이 매우 높아 재무적 곤경에 빠질 가능성이 확실시됨</t>
    <phoneticPr fontId="9" type="noConversion"/>
  </si>
  <si>
    <t>101113</t>
    <phoneticPr fontId="9" type="noConversion"/>
  </si>
  <si>
    <t>진입장벽이 일부 존재하나 크지 않으며 경쟁적인 시장 구조</t>
  </si>
  <si>
    <t>경쟁이 매우 치열한 시장 구조</t>
  </si>
  <si>
    <t>경기 침체 시 수요가 대폭 감소</t>
  </si>
  <si>
    <t>기술력 및 서비스 수준이 매우 열악함
기술력의 부재로 생산에 차질이 발생하고, 그에 따라 제품 및 서비스 품질이 매우 불량한 수준임
사업장 및 물류시설의 입지가 매우 취약하며 설비의 개선이 시급한 상황임</t>
  </si>
  <si>
    <t>제품 및 서비스의 품질과 가격 경쟁력이 매우 열악하며 시장 점유율도 매우 열악하여 정상적인 영업활동을 하기에 어려울 것으로 예상됨</t>
  </si>
  <si>
    <t>안정적인 판매처를 잃거나 확보하지 못하는 등 판매처가 절대 부족하여 영업 활동이 크게 어려워 질 것으로 예상됨</t>
  </si>
  <si>
    <t>최고 경영자의 업계 경험이 3년 미만이며, 경영관리 능력이 매우 낮은 수준임
동업자 관계나 후계자 문제 등으로 인해 정상적인 경영이 어려운 상황에 처할 가능성이 농후함</t>
  </si>
  <si>
    <t>대주주 및 과점주주의 정체성이 불명확하고 대주주 및 최고 경영진의 교체가 빈번함
부실 계열사에 대한 지원이 적극적으로 이루어짐</t>
  </si>
  <si>
    <t>최근 계열사 부도로 재무 및 영업사항에 부정적인 영향이 발생함</t>
  </si>
  <si>
    <t>연체, 당좌부도 등 신용상태 악화로 추가 차입 능력이 없고, 대외 신인도가 매우 부정적임</t>
  </si>
  <si>
    <t>대규모의 부외 부채나 우발 채무가 존재하며, 가까운 미래에 부채로 확정될 가능성이 매우 높아 재무적 곤경에 빠질 가능성이 확실시됨</t>
  </si>
  <si>
    <t>기업의 업력이 5년 미만이며 금융 거래 신뢰도가 매우 낮은 수준임
비외감 기업이 제출한 재무자료가 분식의 가능성이 높고, 의심스러운 수준임</t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</si>
  <si>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</si>
  <si>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</si>
  <si>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</si>
  <si>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</si>
  <si>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</si>
  <si>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</si>
  <si>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산업 위험</t>
  </si>
  <si>
    <t>IR 등급</t>
  </si>
  <si>
    <t>평가 업체가 포함되는 산업의 체계적 위험 평가</t>
  </si>
  <si>
    <t>&lt;IR 등급&gt;
산업 환경/경쟁 상황/성장성 등을 분석하여 NICE평가정보에서 제공하는 산업등급으로 평가
▶ 산업 환경 : 산업 관련 규제 및 정부 정책 동향, 노동시장, 경기 변동에 대한 취약성
▶ 경쟁 상황 : 산업 내 경쟁 구조, 신규 진입장벽, 대체품의 위협 여부, 상품의 시장수급 구조(과열 경쟁 가능성)
▶ 성장성 : 해외 및 국내 시장 동향 및 향후 수요 전망, 주력 제품의 수명 주기
[참고]
지주회사 : 주력회사 업종 산업등급
[참조지표]
IR 등급 :
1등급(산업의 성장요소, 경쟁요소, 환경요소에 의한 종합 전망 시 소속업체의 사업환경이 최상임
2등급(산업의 성장요소, 경쟁요소, 환경요소에 의한 종합 전망 시 소속업체의 사업환경이 매우 우수함
3등급(산업의 성장요소, 경쟁요소, 환경요소에 의한 종합 전망 시 소속업체의 사업환경이 우수함
4등급(산업의 종합 전망이 보통이며 성장요소, 경쟁요소, 환경요소 중 둘 이상이 우수함
5등급(산업의 종합 전망이 보통이며 성장요소, 경쟁요소, 환경요소 중 하나가 우수함
6등급(산업의 종합 전망이 보통이며 성장요소, 경쟁요소, 환경요소 중 하나가 미흡함
7등급(산업의 종합 전망이 보통이며 성장요소, 경쟁요소, 환경요소 중 둘 이상이 미흡함
8등급(산업의 종합 전망이 열위하며 성장요소, 경쟁요소, 환경요소 중 하나가 불량함
9등급(산업의 종합 전망이 열위하며 성장요소, 경쟁요소, 환경요소 중 둘 이상이 불량함
10등급(산업의 성장요소, 경쟁요소, 환경요소에 의한 종합 전망 시 소속업체의 사업환경이 매우 불량함</t>
  </si>
  <si>
    <t>1등급</t>
  </si>
  <si>
    <t>2•3등급</t>
  </si>
  <si>
    <t>4•5등급(무등급)</t>
  </si>
  <si>
    <t>6•7등급</t>
  </si>
  <si>
    <t>8•9등급</t>
  </si>
  <si>
    <t>101102</t>
  </si>
  <si>
    <t>진입장벽/경쟁 상황</t>
  </si>
  <si>
    <t>새로운 경쟁업체가 분석 대상 업체 산업으로의 진입 어려움과 경쟁 강도를 평가</t>
  </si>
  <si>
    <t>&lt;진입장벽&gt;
▶ 산업에 진입하기 위해 필요한 전문기술/경험의 정도
▶ 정부의 인허가
▶ 영업 규모/영업을 하는데 필요한 최소 투자 규모
▶ 지리적 입지의 제약
&lt;경쟁 상황&gt;
▶ 시장 경쟁 형태 : 독점, 복점, 과점, 독점적 경쟁, 완전경쟁
▶ 경쟁 범위 : 지역, 전국, 세계
▶ 교체 비용 및 철수 비용
▶ 출혈 경쟁 여부</t>
  </si>
  <si>
    <t>진입장벽이 매우 높고 경쟁 강도는 매우 낮음
- 특허권, 기술력, 규모의 경제로 인한 자연독점적인 상황이 향후 지속되는 구조
- 정부의 인허가로 인한 독점적인 시장 구조가 향후 지속되는 구조</t>
  </si>
  <si>
    <t>진입장벽이 높고 경쟁 강도가 낮음</t>
  </si>
  <si>
    <t>진입장벽이 높고 시장 내 경쟁 강도가 높음</t>
  </si>
  <si>
    <t>진입장벽이 높지 않으며 일부 경쟁이 있는 시장 구조</t>
  </si>
  <si>
    <t>101103</t>
  </si>
  <si>
    <t>경기 민감도</t>
  </si>
  <si>
    <t>경기 침체 시 수요 패턴을 평가</t>
  </si>
  <si>
    <t>&lt;경기 민감도&gt;
경기 변동의 국면에 따른 반응 양태를 구분하여 경기 변동에 순행하는 산업 여부 및 민감도 여부를 파악, 경기 부침에 따라 동 산업에서 사업을 영위하는 기업의 실적이 변화하는 정도를 평가
▶ 경기 반응 양태
▶ 수요의 패턴</t>
  </si>
  <si>
    <t>경기 침체 시에도 수요 성장세 지속</t>
  </si>
  <si>
    <t>경기 침체 시에도 수요가 안정적</t>
  </si>
  <si>
    <t>경기 침체 시 수요가 현상 유지</t>
  </si>
  <si>
    <t>경기 침체 시 수요가 소폭 감소</t>
  </si>
  <si>
    <t>경기 침체 시 수요가 감소</t>
  </si>
  <si>
    <t>101104</t>
  </si>
  <si>
    <t>영업 위험</t>
  </si>
  <si>
    <t>영업 자원</t>
  </si>
  <si>
    <t>기술 수준/입지/설비 수준</t>
  </si>
  <si>
    <t>기술 수준, 사업장 및 물류시설의 입지 적정성, 설비 수준에 대한 평가</t>
  </si>
  <si>
    <t>&lt;기술 수준&gt;
▶ 특허, 공인 인증, 신기술 보유, 독자적 기술 개발 능력, 신상품 개발, 대외 수상 실적 등 보유 기술 및 서비스 수준
▶ R&amp;D 현황, 기술 제휴, 자체 연구소 운영 여부 및 실태를 통한 기술 및 서비스 개선 노력
[참조지표]
연구비/매출액
&lt;입지&gt;
▶ 사업장 및 물류시설의 입지 적정성
- 접근 용이성
- 교통 편의성
&lt;설비 수준&gt;
▶ 설비 규모 및 수준
▶ 자동화 설비 투자 수준
▶ 시설 투자 및 유지 보수(리모델링)
[참고]
유통업 : 전문점 밀집 지역/교통 편의성이 우수한 지역/유동인구 및 상주인구가 풍부한 지역
- 기타 서비스업 : 유동인구 및 상주인구가 풍부한 지역/관광지역 인접성, 전망/상권 밀집지역
[참조지표]
설비 수준 -&gt; 총자산수익율, 유형자산, 감가상각비</t>
  </si>
  <si>
    <t>동 업계 내 선도적인 기술력 및 서비스 수준을 보유하고 있음
지속적인 연구 개발 투자를 통해 적극적으로 기술력 향상을 위해 노력하고 있음
사업장 및 물류시설의 입지가 매우 우수하며 동 업계 내 최상의 설비를 갖추고 있음</t>
  </si>
  <si>
    <t>동 업계 내 우위의 기술력 및 서비스 수준을 보유하고 있음
지속적인 연구 개발 투자를 통해 기술력 향상을 위해 노력하고 있음
사업장 및 물류시설의 입지가 우수하며 동 업계 내 상위의 설비를 갖추고 있음</t>
  </si>
  <si>
    <t>동 업계 내 평균 수준의 기술력 및 서비스 수준을 보유하고 있음
독자적 기술 개발은 어려우나 기술 및 품질 개선을 위한 연구 개발 투자가 평균 수준으로 이루어지고 있음
사업장 및 물류시설의 입지가 양호하며 동 업계 내 평균 수준의 설비를 갖추고 있음</t>
  </si>
  <si>
    <t>기술력 및 서비스 수준을 보유하고 있긴 하나 환경 변화에 대한 대응력이 미약함
기술 및 품질 개선을 위한 연구 개발 투자가 미흡함
사업장 및 물류시설의 입지가 다소 미흡하며 설비의 유지 보수가 필요함</t>
  </si>
  <si>
    <t>기술력 및 서비스 수준이 열악하고, 독자적인 기술 개발력이 부족함
연구 개발 투자가 낮은 수준이어서 향후 경쟁력 약화가 예상됨
사업장 및 물류시설의 입지가 취약하며 설비의 개선이 필요함</t>
  </si>
  <si>
    <t>101105</t>
  </si>
  <si>
    <t>구매 위험/생산 위험</t>
  </si>
  <si>
    <t>원자재 및 상품 등의 구매 단계에서 발생하는 위험 및 생산 단계에서 발생하는 위험 평가</t>
  </si>
  <si>
    <t>&lt;구매 위험&gt;
▶ 구매 안정성
- 환율, 유가 등의 외적 요인으로 인한 구매 물량 및 가격 변동성
- 구매처의 다변화
- 고정 거래처 확보 여부
▶ 구매 효율성
- 가격 교섭력
- 현금 결제 비율, 외상 기간 등 결제 조건
[참조지표]
매출원가율
&lt;생산 위험&gt;
▶ 상품, 제품의 품질 수준
▶ 제품 수요 변동성에 따른 가동률 수준, 하청업체 관리 수준(통제력)
▶ 생산을 위한 설비 효율성
- 최신 설비시설의 도입 및 지속적 설비 개보수 활동
- 시설과 장비의 원활한 가동률
- 수율 및 불량률
- [참고]
건설업 : 하자보수 빈도, 총 공사비 대비 하자보수비 발생액, 하도급 비중, 이월공사물량비중
[참조지표]
매입채무회전율, 재고자산회전율</t>
  </si>
  <si>
    <t>구매처 다변화로 적기에 원자재 조달이 가능하며 외적 요인으로 인한 구매 변동성이 전혀 없음
고정 거래처가 매우 충분히 확보되어 있고 가격 교섭력 및 결제 조건이 매우 우수함
제품의 품질이 매우 우수하며 제품 수요 변동성에 따른 가동률 수준이 매우 적정하고 수율 및 불량률 등 생산효율성이 뛰어남</t>
  </si>
  <si>
    <t>구매처 다변화로 원자재의 안정적인 조달이 가능하며 외적 요인으로 인한 구매 변동성이 약간 있음
고정 거래처가 충분히 확보되어 있고 가격 교섭력 및 결제조건이 우수함
제품의 품질이 우수하며 제품 수요 변동성에 따른 가동률 조정이 가능하고 수율 및 불량률 등 생산효율성이 양호함</t>
  </si>
  <si>
    <t>구매처가 다변화되어 있지는 않지만 고정 구매처를 통해 원활하게 조달 가능하고 가격 및 결제조건을 유리하게 결정할 수 있음
제품의 품질이 보통 수준이며 제품 수요 변동성에 따라 적정 수준으로 생산 가능함</t>
  </si>
  <si>
    <t>구매처가 다변화되어 있지는 않지만 고정 구매처를 통해 필요 물량 조달 가능하나 가격 및 결제조건 결정 권한이 불리한 입장임
제품의 품질이 미흡하며 설비 보수 등을 통해 수율 및 불량률 등 생산효율성 향상을 위해 노력해야 함</t>
  </si>
  <si>
    <t>공급업체가 제한되어 있어 물량 부족 현상이 자주 발생하고 가격 및 결제조건에 대한 리스크가 큰 편임
외적 요인으로 인한 구매 물량 및 가격 변동성이 크게 있음
제품의 품질이 취약하며 설비 낙후 등의 문제로 가동률이 떨어지고 불량률 등 생산효율성 저하로 생산 위험에 대한 관리가 필요함</t>
  </si>
  <si>
    <t>공급업체가 극히 제한되어 있어 물량 부족 현상이 빈번하고 가격 및 결제조건의 매우 불리함
외적 요인으로 인한 구매 물량 및 가격 변동성이 매우 크게 있음
제품의 품질이 매우 취약하며 설비 등의 제반 사항 불충분으로 정상적인 생산활동이 어려움</t>
  </si>
  <si>
    <t>101106</t>
  </si>
  <si>
    <t>판매 위험</t>
  </si>
  <si>
    <t>판매 경쟁력</t>
  </si>
  <si>
    <t>주요 판매 제품 및 서비스의 차별화 수준과 가격 경쟁력 및 시장에서의 경쟁적 지위를 평가</t>
  </si>
  <si>
    <t>&lt;판매 경쟁력&gt;
▶ 주요 판매 제품 및 서비스의 차별화 수준
- 주요 판매 제품의 품질 수준과 수명
- 브랜드 인지도 및 충성도
- 서비스 수준
▶ 가격 경쟁력
▶ 영업 대상 지역의 광범위성
▶ 공급처 및 고객의 수 및 그에 따른 경쟁 수준, 잠재적 경쟁자, 대체품의 접근 용이성
▶ 독점, 과점, 자유경쟁 등 경쟁 구조
▶ 시장 점유율 및 시장 지배력(시장 수요 및 가격에 대한 영향력)
[참고]
건설업: 시공능력 평가액 순위</t>
  </si>
  <si>
    <t>제품 및 서비스의 차별화 수준이 우수하며 가격 경쟁력이 탁월하고, 시장 점유율이 매우 높은 수준임
경쟁업체 수가 제한되어 있으며 대체 상품/대체 서비스 출현이 매우 어려움</t>
  </si>
  <si>
    <t>제품 및 서비스의 차별화 수준과 가격 경쟁력이 양호하며, 시장 점유율이 높은 편임
경쟁업체 수가 적은 편이며, 대체 상품/대체 서비스 출현 가능성이 낮은 편임</t>
  </si>
  <si>
    <t>제품 및 서비스의 차별화 수준이 보통 수준이나 가격 경쟁력이 양호한 편이며, 시장 점유율도 보통 수준임
경쟁업체 수는 적은 편이나, 대체 상품/대체 서비스 출현 가능성이 존재함</t>
  </si>
  <si>
    <t>제품 및 서비스의 차별화 수준이 미흡하며 가격 경쟁력도 평균 이하이며, 시장 점유율이 낮은 수준임
경쟁업체 수가 증가하고 있고 대체 상품/대체 서비스 출현 가능성이 높이 존재함</t>
  </si>
  <si>
    <t>제품 및 서비스 차별화 수준이 열등하며 가격경쟁력도 낮은 편이고, 향후 시장 점유율이 줄어들 것으로 예상됨
영업지역 내의 제품 및 서비스공급 경쟁이 심화되고 있고, 대체 상품/대체 서비스가 지속적으로 나타나고 있음</t>
  </si>
  <si>
    <t>101107</t>
  </si>
  <si>
    <t>판매 안정성</t>
  </si>
  <si>
    <t>재화 또는 용역의 판매가 안정적으로 이루어질 수 있는지 평가</t>
  </si>
  <si>
    <t>&lt;판매 안정성&gt;
▶ 고정 판매처 보유 여부, 판매처 다변화 가능성
▶ 전방산업의 시장 상황 및 경기 전망을 고려한 수요 기반, 영업 조직 및 유통 구조/유통망 수준, 판매 장려 정책의 적극성
[참고]
음식/숙박업: 회전율
임대업: 공실률
건설업: 수주 잔량 및 그 변동성, 공사 종류별 포트폴리오 구성, 턴키 공사 및 공공 수주 실적
[참조지표]
매출액, 매출액 증가율, 영업이익율, 총자산수익율</t>
  </si>
  <si>
    <t>경기 상황 등 외부적 요인에 무관하게 수요기반이 매우 안정적이고 기존 판매처와 지속적으로 거래하고 있음
신규 판매처의 확보 수준도 우수함. 상황에 따라 적절한 판매 장려(Promotion) 전략을 구사하여 판매 안정성을 높은 수준으로 유지함</t>
  </si>
  <si>
    <t>경기 상황 등 외부적 요인에 따라 수요기반이 변동적이며 기존 판매처와의 거래 지속성이 양호함
신규 판매처의 확보를 위해서도 꾸준히 노력하고 있음. 상황에 따라 판매 장려(Promotion) 전략을 구사하여 판매 안정성을 유지하기 위해 노력하고 있음</t>
  </si>
  <si>
    <t>경기 상황 등 외부적 요인에 따라 수요기반이 변동적이며 기존 판매처와의 거래 지속성은 평균 수준임
신규 판매처 확보도 보통 수준으로 이루어지고 있음. 상황에 따라 판매 장려(Promotion) 전략을 구사하고 있으나 영업 실적과의 연계 가능성은 불명확함</t>
  </si>
  <si>
    <t>경기 상황 등 외부적 요인에 따라 수요기반이 변동적이고 기존 판매처와의 거래 지속성이 불명확함
신규 판매처 확보가 원활히 이루어지고 있지 못함. 상황에 따라 판매 장려(Promotion) 전략을 구사하지만 영업 실적으로 이어지지 못하고 있음</t>
  </si>
  <si>
    <t>경기 상황 등 외부적 요인에 따라 수요기반이 변동적이고 고정 판매처가 줄어들고 있어 판매 안정성이 열악한 수준임</t>
  </si>
  <si>
    <t>101108</t>
  </si>
  <si>
    <t>경영 위험</t>
  </si>
  <si>
    <t>경영진</t>
  </si>
  <si>
    <t>경영진의 업계 경험 및 평판과 경영능력 평가</t>
  </si>
  <si>
    <t>&lt;경영진&gt;
▶ 경영자 및 주요 경영진의 동 업계 경력 및 그에 따른 업계에서의 평판
▶ 경영진의 전문성
- Career Path의 업무 유관성
- 주요 경력 및 과거에 성취했던 성과
- 업무 유관 지식의 지속적 학습 및 자기 개발
▶ 경영 관리 능력
- 대표자의 관리 성향, 대외 교섭력
- 위기 관리 능력 : 과거 위기 극복 경험
- 종업원과의 원활한 의사 소통
▶ 경영 전념도
- 경영자의 업무 참여 및 몰입 정도 및 기업 경영에 대한 책임감
- 동업자 관계에 따른 위험, 후계자 양성</t>
  </si>
  <si>
    <t>경영자 및 주요 경영진은 업계 경험 15년 이상이며, 경영 관리 능력도 매우 우수함
경영진의 대외교섭력이 우수하고, 동업자 관계에 따른 위험이 없음</t>
  </si>
  <si>
    <t>경영자 및 주요 경영진은 업계 경험 10년 이상이며, 경영 관리 능력도 높은 편임
경영진의 대외교섭력이 원만하고, 동업자 관계에 따른 위험이 거의 없음</t>
  </si>
  <si>
    <t>경영자 및 주요 경영진은 업계 경험 7년 이상이며, 경영 관리 능력도 평범한 수준임
경영진의 대외교섭력이 보통이고, 동업자 관계에 따른 위험이 다소 존재함</t>
  </si>
  <si>
    <t>경영자 및 주요 경영진은 업계 경험 5년 이상이며, 경영 관리 능력이 다소 떨어짐
경영진의 대외교섭력이 다소 미흡하고, 동업자 관계에 따른 위험이 상존하고 있음</t>
  </si>
  <si>
    <t>최고 경영자의 업계 경험이 3년 이상이며, 경영 관리 능력이 낮은 수준임
경영진이 대외교섭활동을 거의 하지 않고, 동업자 관계가 복잡하여 그에 따른 위험이 발생할 가능성이 매우 높음</t>
  </si>
  <si>
    <t>101109</t>
  </si>
  <si>
    <t>경영 구조</t>
  </si>
  <si>
    <t>지배 구조</t>
  </si>
  <si>
    <t>기업 활동의 불확실성에 영향을 주는 경영권 문제를 평가</t>
  </si>
  <si>
    <t>&lt;지배 구조&gt;
▶ 투명한 의사결정 구조(사외 이사 제도 등) 
▶ 경영권 방어를 위한 안정적 지분 확보
▶ 경영권 분쟁 경험 또는 대주주의 잦은 변경
▶ 자금 담당자 등 주요 직원 및 경영진의 빈번한 교체
▶ 계열사 지원 여부
▶ 대주주 사적 자금 유용 여부(대주주 앞 대여금, 가지급금 등)</t>
  </si>
  <si>
    <t>기업경영 투명성이 매우 우수하며, 대주주가 최고 수준의 자금력을 보유하고 있고 지속적인 자금 지원이 가능함
부실 계열사에 대한 부담이 전혀 없음</t>
  </si>
  <si>
    <t>기업경영 투명성이 양호한 수준이며, 대주주가 양호한 자금력 및 자금 지원 의지가 있음
부실 계열사에 대한 부담이 없음</t>
  </si>
  <si>
    <t>기업경영 투명성이 보통 수준이며, 대주주의 자금력과 경영권의 안정성이 평균 수준임</t>
  </si>
  <si>
    <t>기업경영 투명성이 미흡하며, 대주주의 자금력 및 경영권의 안정성이 열위한 수준임
부실 계열사에 대한 부담이 다소 존재함</t>
  </si>
  <si>
    <t>경영권 관련 분쟁이 발생하였거나 현재 발생 중으로 재연될 가능성이 있음
부실 계열사에 대한 지원 가능성이 상존하며, 대주주의 사적 자금 유용 사례가 있음</t>
  </si>
  <si>
    <t>101110</t>
  </si>
  <si>
    <t>계열/관계사</t>
  </si>
  <si>
    <t>계열 및 관계사에 의한 예상 위험 정도를 평가</t>
  </si>
  <si>
    <t>&lt;계열/관계사&gt;
▶ 해외현지 법인 포함
▶ 주요 계열사 및 관계사의 당행 또는 외부 신용등급
▶ 계열사의 산업 포트폴리오
▶ 계열사 및 관계사 간 내부거래 정도
▶ 계열사 간 자본출자관계
▶ 우발 채무 정도 및 실현가능성
▶ 직접 자금 지원 정도
[지주회사] 현금흐름의 자회사에 대한 종속성, 핵심 자회사의 신용평가등급, 자회사로부터의 지원 수준</t>
  </si>
  <si>
    <t>계열사 신용도가 매우 우량하여 계열사로부터의 직간접적 자금지원 가능성이 있음
계열 주 업종 산업이 성장 추세를 유지하고 있음</t>
  </si>
  <si>
    <t>계열사 신용도가 대체로 우량하고 계열 주 업종의 산업 전망이 긍정적이며 산업 포트폴리오가 양호함</t>
  </si>
  <si>
    <t>계열사 없음</t>
  </si>
  <si>
    <t>일부 부실 계열사가 존재하나 출자 규모 및 대위변제 등의 우발 채무 위험은 제한적이며 계열사 매출비중이 높고 계열 주 업종 산업 전망이 다소 부정적임</t>
  </si>
  <si>
    <t>다수의 부실 계열사가 존재하며 계열사에 대한 출자 및 채무 보증이 과다함</t>
  </si>
  <si>
    <t>101111</t>
  </si>
  <si>
    <t>재무 관리</t>
  </si>
  <si>
    <t>자금 조달 능력</t>
  </si>
  <si>
    <t>필요 자금 조달 능력을 평가</t>
  </si>
  <si>
    <t>&lt;자금 조달 능력&gt;
[외감 대기업/중소기업]
▶ 무보증 회사채 발행 여부 및 등급
▶ 유상증자 가능성
▶ 금융기관 차입 여력 및 차입 조건
[비외감기업]
▶ 금융기관 차입 여력 및 차입 조건
▶ 관계사 및 제 3자를 통한 자금 지원 가능성
▶ 차주 및 대표자의 보유 자산 가치 및 환금성
▶ 대외 신인도
[참조지표]
유형자산, 투자자산, 총차입금, 외부신용등급</t>
  </si>
  <si>
    <t>최근 6개월 이내에 해외시장에서 주식을 발행하였으며 대주주의 유상증자 참여 능력이 매우 높은 수준임
신용보증 여력 등이 풍부하여 차입 여력이 우수함</t>
  </si>
  <si>
    <t>대주주의 유상증자 참여 능력이 높은 수준임
대출한도소진율, 담보력 등을 감안한 추가 차입 여력이 양호하고, 대외 신인도가 우수함</t>
  </si>
  <si>
    <t>대주주가 자금부족 시 유상증자를 단행할 능력이 있음
대출한도소진율, 담보력 등을 감안한 추가 차입 여력이 다소 있고, 대외 신인도가 보통 수준임</t>
  </si>
  <si>
    <t>최근 2년 이내에 유상증자를 하지 않았으며 대주주의 증자 참여 능력이 떨어지는 수준임
추가 차입 여력이 없으나 기존 대출금 이자는 영업활동에 의한 자체 자금으로 상환이 가능하고, 대외 신인도가 다소 떨어짐</t>
  </si>
  <si>
    <t>최근 3년 이내에 유상증자를 하지 않았으며 대주주의 증자 참여 능력이 매우 떨어지는 수준임
추가 대출로 기존 대출금 이자를 상환하고, 대외 신인도가 부정적임</t>
  </si>
  <si>
    <t>101112</t>
  </si>
  <si>
    <t>우발적 재무 위험</t>
  </si>
  <si>
    <t>부외 부채, 우발 채무에 따른 위험을 평가</t>
  </si>
  <si>
    <t>&lt;우발적 재무 위험&gt;
▶ 파악 가능한 부외 부채의 규모
▶ 소송이나 지급 보증, 담보 제공 등에 따른 우발 채무 발생 가능성
▶ 외환 리스크
[참고]
 재무제표 주석 사항 중 우발 채무</t>
  </si>
  <si>
    <t>부외 부채나 우발 채무가 전무하거나, 부외부채나 우발 채무를 감안하더라도 완전하게 우발적 위험을 감당할 수 있음</t>
  </si>
  <si>
    <t>부외 부채나 우발 채무가 소액 존재하지만, 부외부채나 우발 채무를 감안하더라도 우발적 위험에 대처할 수 있음</t>
  </si>
  <si>
    <t>부외 부채나 우발 채무가 다소 존재하며, 부외부채나 우발 채무를 감안하더라도 재무적 곤경에 빠지지 않을 것으로 예상됨</t>
  </si>
  <si>
    <t>부외 부채나 우발 채무가 존재하며, 부외부채나 우발 채무를 감안할 경우 재무적 곤경에 빠질 가능성이 존재함</t>
  </si>
  <si>
    <t>일정 수준 이상의 부외 부채나 우발 채무가 존재하며, 부채로 확정될 가능성이 높아 재무적 곤경에 빠질 가능성이 상존함</t>
  </si>
  <si>
    <t>101113</t>
  </si>
  <si>
    <t>신뢰도</t>
  </si>
  <si>
    <t>업체 신뢰도</t>
  </si>
  <si>
    <t>차주의 업력과 거래 실적 및 재무자료의 신뢰성 평가</t>
  </si>
  <si>
    <t>&lt;신뢰도&gt;
▶ 기업 형태, 업력
▶ 거래 신뢰성
- 여신 거래 기간 및 여신 업무에 대한 협조 수준
- 최근 6개월 이내의 연체 및 대지급, 당좌부도 발생 유무 등
- 기타 금융 거래 시의 약정 및 약속 이행 준수 여부
▶ 재무제표 감사 의견
▶ 분식 가능성의 판단
▶ 기업에 대한 사회적 평판</t>
  </si>
  <si>
    <t>기업의 업력이 20년 이상이며 금융 거래 신뢰도가 매우 우수한 수준임
감사의견이 적정이며 분식 가능성이 낮은 수준임</t>
  </si>
  <si>
    <t>기업의 업력이 15년 이상이며 금융 거래 신뢰도가 양호한 수준임
감사의견이 적정이며 분식 가능성이 낮은 수준임</t>
  </si>
  <si>
    <t>기업의 업력이 10년 이상이며 금융 거래 신뢰도가 평균 수준임
비외감 기업이 제출한 재무자료가 신뢰할 만한 수준이고 분식 가능성이 낮은 수준임</t>
  </si>
  <si>
    <t>기업의 업력이 5년 이상이며 금융 거래 신뢰도가 평균 이하 수준임
감사의견이 한정임</t>
  </si>
  <si>
    <t>기업의 업력이 5년 미만이며 금융 거래 신뢰도가 낮은 수준임
비외감 기업이 제출한 재무자료가 분식의 가능성이 있거나 신뢰하지 못할 수준임</t>
  </si>
  <si>
    <t>대기업</t>
  </si>
  <si>
    <t>모형</t>
  </si>
  <si>
    <t>외감</t>
  </si>
  <si>
    <t>비외감</t>
  </si>
  <si>
    <t>업종</t>
  </si>
  <si>
    <t>경공업</t>
  </si>
  <si>
    <t>중공업</t>
  </si>
  <si>
    <t>도소매업</t>
  </si>
  <si>
    <t>기타서비스업</t>
  </si>
  <si>
    <t>B</t>
  </si>
  <si>
    <t>E</t>
  </si>
  <si>
    <t>부외 부채, 우발 채무에 따른 위험을 평가</t>
    <phoneticPr fontId="2" type="noConversion"/>
  </si>
  <si>
    <t>&lt;우발적 재무 위험&gt;
▶ 파악 가능한 부외 부채의 규모
▶ 소송이나 지급 보증, 담보 제공 등에 따른 우발 채무 발생 가능성
▶ 외환 리스크
[참고]
 재무제표 주석 사항 중 우발 채무</t>
    <phoneticPr fontId="2" type="noConversion"/>
  </si>
  <si>
    <t>부외 부채나 우발 채무가 전무하거나, 부외부채나 우발 채무를 감안하더라도 완전하게 우발적 위험을 감당할 수 있음</t>
    <phoneticPr fontId="2" type="noConversion"/>
  </si>
  <si>
    <t>부외 부채나 우발 채무가 소액 존재하지만, 부외부채나 우발 채무를 감안하더라도 우발적 위험에 대처할 수 있음</t>
    <phoneticPr fontId="2" type="noConversion"/>
  </si>
  <si>
    <t>부외 부채나 우발 채무가 다소 존재하며, 부외부채나 우발 채무를 감안하더라도 재무적 곤경에 빠지지 않을 것으로 예상됨</t>
    <phoneticPr fontId="2" type="noConversion"/>
  </si>
  <si>
    <t>부외 부채나 우발 채무가 존재하며, 부외부채나 우발 채무를 감안할 경우 재무적 곤경에 빠질 가능성이 존재함</t>
    <phoneticPr fontId="2" type="noConversion"/>
  </si>
  <si>
    <t>일정 수준 이상의 부외 부채나 우발 채무가 존재하며, 부채로 확정될 가능성이 높아 재무적 곤경에 빠질 가능성이 상존함</t>
    <phoneticPr fontId="2" type="noConversion"/>
  </si>
  <si>
    <t>대규모의 부외 부채나 우발 채무가 존재하며, 가까운 미래에 부채로 확정될 가능성이 매우 높아 재무적 곤경에 빠질 가능성이 확실시됨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</si>
</sst>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#,##0\ [$€-1];[Red]\-#,##0\ [$€-1]"/>
  </numFmts>
  <fonts count="27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체"/>
      <family val="3"/>
      <charset val="129"/>
    </font>
    <font>
      <sz val="10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b/>
      <sz val="11"/>
      <color indexed="81"/>
      <name val="현대해상 고딕 Light"/>
      <family val="3"/>
      <charset val="129"/>
    </font>
    <font>
      <sz val="10"/>
      <color indexed="81"/>
      <name val="현대해상 고딕 Light"/>
      <family val="3"/>
      <charset val="129"/>
    </font>
    <font>
      <sz val="11"/>
      <name val="현대해상 고딕 Light"/>
      <family val="3"/>
      <charset val="129"/>
    </font>
    <font>
      <b/>
      <sz val="18"/>
      <name val="현대해상 고딕 Light"/>
      <family val="3"/>
      <charset val="129"/>
    </font>
    <font>
      <b/>
      <sz val="11"/>
      <name val="현대해상 고딕 Light"/>
      <family val="3"/>
      <charset val="129"/>
    </font>
    <font>
      <b/>
      <sz val="11"/>
      <name val="돋움"/>
      <family val="3"/>
      <charset val="129"/>
    </font>
    <font>
      <b/>
      <sz val="8"/>
      <name val="현대해상 고딕 Light"/>
      <family val="3"/>
      <charset val="129"/>
    </font>
    <font>
      <sz val="8"/>
      <name val="현대해상 고딕 Light"/>
      <family val="3"/>
      <charset val="129"/>
    </font>
    <font>
      <sz val="9"/>
      <color theme="1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현대해상 고딕 Light"/>
      <family val="3"/>
      <charset val="129"/>
    </font>
    <font>
      <sz val="9"/>
      <color rgb="FF000000"/>
      <name val="현대해상 고딕 Light"/>
      <family val="3"/>
      <charset val="129"/>
    </font>
    <font>
      <b/>
      <sz val="10"/>
      <color theme="0"/>
      <name val="현대해상 고딕 Light"/>
      <family val="3"/>
      <charset val="129"/>
    </font>
    <font>
      <sz val="11"/>
      <color theme="0"/>
      <name val="현대해상 고딕 Light"/>
      <family val="3"/>
      <charset val="129"/>
    </font>
    <font>
      <b/>
      <sz val="16"/>
      <color rgb="FF002060"/>
      <name val="현대해상 고딕 Light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3" fillId="0" borderId="0"/>
    <xf numFmtId="176" fontId="18" fillId="0" borderId="0"/>
    <xf numFmtId="0" fontId="19" fillId="0" borderId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3" fillId="0" borderId="0"/>
    <xf numFmtId="0" fontId="3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6" fillId="0" borderId="0"/>
    <xf numFmtId="0" fontId="1" fillId="0" borderId="0"/>
  </cellStyleXfs>
  <cellXfs count="43">
    <xf numFmtId="0" fontId="0" fillId="0" borderId="0" xfId="0">
      <alignment vertical="center"/>
    </xf>
    <xf numFmtId="49" fontId="4" fillId="0" borderId="1" xfId="16" applyNumberFormat="1" applyFont="1" applyFill="1" applyBorder="1" applyAlignment="1">
      <alignment wrapText="1"/>
    </xf>
    <xf numFmtId="49" fontId="7" fillId="2" borderId="1" xfId="16" applyNumberFormat="1" applyFont="1" applyFill="1" applyBorder="1" applyAlignment="1">
      <alignment horizontal="center"/>
    </xf>
    <xf numFmtId="0" fontId="7" fillId="2" borderId="1" xfId="16" applyFont="1" applyFill="1" applyBorder="1" applyAlignment="1">
      <alignment horizontal="center"/>
    </xf>
    <xf numFmtId="0" fontId="7" fillId="2" borderId="1" xfId="16" applyFont="1" applyFill="1" applyBorder="1" applyAlignment="1">
      <alignment horizontal="center" wrapText="1"/>
    </xf>
    <xf numFmtId="0" fontId="3" fillId="0" borderId="0" xfId="9" applyAlignment="1">
      <alignment vertical="center" wrapText="1"/>
    </xf>
    <xf numFmtId="49" fontId="3" fillId="0" borderId="0" xfId="9" applyNumberFormat="1" applyAlignment="1">
      <alignment vertical="center"/>
    </xf>
    <xf numFmtId="0" fontId="3" fillId="0" borderId="0" xfId="9" applyAlignment="1">
      <alignment vertical="center"/>
    </xf>
    <xf numFmtId="0" fontId="0" fillId="0" borderId="0" xfId="0" applyProtection="1">
      <alignment vertical="center"/>
      <protection locked="0"/>
    </xf>
    <xf numFmtId="49" fontId="3" fillId="0" borderId="1" xfId="9" applyNumberFormat="1" applyBorder="1" applyAlignment="1">
      <alignment vertical="center"/>
    </xf>
    <xf numFmtId="0" fontId="23" fillId="0" borderId="1" xfId="0" applyFont="1" applyBorder="1" applyAlignment="1">
      <alignment horizontal="center" vertical="center" wrapText="1"/>
    </xf>
    <xf numFmtId="0" fontId="22" fillId="4" borderId="1" xfId="0" applyFont="1" applyFill="1" applyBorder="1" applyAlignment="1">
      <alignment vertical="center" wrapText="1"/>
    </xf>
    <xf numFmtId="0" fontId="22" fillId="4" borderId="1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 vertical="center" wrapText="1"/>
    </xf>
    <xf numFmtId="0" fontId="22" fillId="4" borderId="1" xfId="0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Protection="1">
      <alignment vertical="center"/>
    </xf>
    <xf numFmtId="0" fontId="13" fillId="6" borderId="4" xfId="0" applyFont="1" applyFill="1" applyBorder="1" applyAlignment="1" applyProtection="1">
      <alignment horizontal="right" vertical="center"/>
    </xf>
    <xf numFmtId="0" fontId="24" fillId="7" borderId="2" xfId="15" applyFont="1" applyFill="1" applyBorder="1" applyAlignment="1" applyProtection="1">
      <alignment horizontal="center" vertical="center" wrapText="1"/>
    </xf>
    <xf numFmtId="0" fontId="12" fillId="0" borderId="0" xfId="0" applyFont="1" applyFill="1" applyBorder="1" applyProtection="1">
      <alignment vertical="center"/>
    </xf>
    <xf numFmtId="0" fontId="25" fillId="0" borderId="0" xfId="0" applyFont="1" applyFill="1" applyBorder="1" applyProtection="1">
      <alignment vertical="center"/>
    </xf>
    <xf numFmtId="0" fontId="26" fillId="0" borderId="0" xfId="0" applyFont="1" applyAlignment="1" applyProtection="1">
      <alignment vertical="center"/>
      <protection locked="0"/>
    </xf>
    <xf numFmtId="0" fontId="26" fillId="0" borderId="0" xfId="0" applyFont="1" applyAlignment="1">
      <alignment vertical="center"/>
    </xf>
    <xf numFmtId="0" fontId="24" fillId="7" borderId="3" xfId="15" applyFont="1" applyFill="1" applyBorder="1" applyAlignment="1" applyProtection="1">
      <alignment horizontal="center" vertical="center" wrapText="1"/>
    </xf>
    <xf numFmtId="0" fontId="25" fillId="0" borderId="0" xfId="0" applyFont="1" applyProtection="1">
      <alignment vertical="center"/>
    </xf>
    <xf numFmtId="0" fontId="12" fillId="0" borderId="0" xfId="0" applyFont="1" applyFill="1" applyBorder="1" applyAlignment="1" applyProtection="1">
      <alignment horizontal="center" vertical="center" wrapText="1"/>
    </xf>
    <xf numFmtId="0" fontId="13" fillId="3" borderId="4" xfId="0" applyFont="1" applyFill="1" applyBorder="1" applyAlignment="1" applyProtection="1">
      <alignment horizontal="center" vertical="center"/>
    </xf>
    <xf numFmtId="0" fontId="0" fillId="10" borderId="0" xfId="0" applyFill="1" applyProtection="1">
      <alignment vertical="center"/>
      <protection locked="0"/>
    </xf>
    <xf numFmtId="0" fontId="0" fillId="10" borderId="0" xfId="0" applyFill="1" applyAlignment="1" applyProtection="1">
      <alignment vertical="center" wrapText="1"/>
      <protection locked="0"/>
    </xf>
    <xf numFmtId="0" fontId="0" fillId="10" borderId="0" xfId="0" quotePrefix="1" applyFill="1" applyAlignment="1" applyProtection="1">
      <alignment vertical="center" wrapText="1"/>
      <protection locked="0"/>
    </xf>
    <xf numFmtId="0" fontId="0" fillId="3" borderId="1" xfId="0" applyFill="1" applyBorder="1" applyAlignment="1" applyProtection="1">
      <alignment vertical="center" wrapText="1"/>
      <protection locked="0"/>
    </xf>
    <xf numFmtId="0" fontId="14" fillId="9" borderId="1" xfId="0" applyFont="1" applyFill="1" applyBorder="1" applyAlignment="1" applyProtection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7" fillId="8" borderId="1" xfId="17" applyFont="1" applyFill="1" applyBorder="1" applyAlignment="1" applyProtection="1">
      <alignment horizontal="left" vertical="top" wrapText="1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top" wrapText="1"/>
    </xf>
    <xf numFmtId="0" fontId="24" fillId="5" borderId="1" xfId="17" applyFont="1" applyFill="1" applyBorder="1" applyAlignment="1" applyProtection="1">
      <alignment horizontal="center" vertical="center"/>
    </xf>
    <xf numFmtId="0" fontId="16" fillId="8" borderId="5" xfId="17" applyFont="1" applyFill="1" applyBorder="1" applyAlignment="1" applyProtection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</cellXfs>
  <cellStyles count="18">
    <cellStyle name="_x000a_386grabber=M" xfId="1"/>
    <cellStyle name="표준" xfId="0" builtinId="0"/>
    <cellStyle name="표준 10" xfId="2"/>
    <cellStyle name="표준 100" xfId="3"/>
    <cellStyle name="표준 104" xfId="4"/>
    <cellStyle name="표준 2" xfId="5"/>
    <cellStyle name="표준 2 4" xfId="6"/>
    <cellStyle name="표준 2 5" xfId="7"/>
    <cellStyle name="표준 3" xfId="8"/>
    <cellStyle name="표준 4" xfId="9"/>
    <cellStyle name="표준 46" xfId="10"/>
    <cellStyle name="표준 5" xfId="11"/>
    <cellStyle name="표준 6" xfId="12"/>
    <cellStyle name="표준 7" xfId="13"/>
    <cellStyle name="표준 8" xfId="14"/>
    <cellStyle name="표준_risk category n factor for ahp questionnaire_20060922" xfId="15"/>
    <cellStyle name="표준_모형구분" xfId="16"/>
    <cellStyle name="표준_비재무20061020-F신용평가팀_박용진작업후" xfId="17"/>
  </cellStyles>
  <dxfs count="5"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1"/>
      </font>
      <fill>
        <patternFill>
          <bgColor theme="8" tint="0.59996337778862885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08">
    <tabColor rgb="FFFFFF00"/>
  </sheetPr>
  <dimension ref="A1:Q157"/>
  <sheetViews>
    <sheetView zoomScale="85" zoomScaleNormal="85" workbookViewId="0">
      <selection activeCell="C2" sqref="C2"/>
    </sheetView>
  </sheetViews>
  <sheetFormatPr defaultRowHeight="13.5"/>
  <cols>
    <col min="1" max="1" width="11.5546875" style="6" bestFit="1" customWidth="1"/>
    <col min="2" max="2" width="11.5546875" style="6" customWidth="1"/>
    <col min="3" max="6" width="11.5546875" style="7" customWidth="1"/>
    <col min="7" max="7" width="18.109375" style="7" bestFit="1" customWidth="1"/>
    <col min="8" max="8" width="6.33203125" style="7" bestFit="1" customWidth="1"/>
    <col min="9" max="9" width="8.88671875" style="7"/>
    <col min="10" max="10" width="15.5546875" style="5" customWidth="1"/>
    <col min="11" max="15" width="8.88671875" style="5"/>
  </cols>
  <sheetData>
    <row r="1" spans="1:17" ht="15" customHeight="1">
      <c r="A1" s="2" t="s">
        <v>408</v>
      </c>
      <c r="B1" s="2" t="s">
        <v>411</v>
      </c>
      <c r="C1" s="3" t="s">
        <v>15</v>
      </c>
      <c r="D1" s="3" t="s">
        <v>14</v>
      </c>
      <c r="E1" s="3" t="s">
        <v>1</v>
      </c>
      <c r="F1" s="3" t="s">
        <v>2</v>
      </c>
      <c r="G1" s="3" t="s">
        <v>3</v>
      </c>
      <c r="H1" s="3" t="s">
        <v>4</v>
      </c>
      <c r="I1" s="4" t="s">
        <v>5</v>
      </c>
      <c r="J1" s="4" t="s">
        <v>6</v>
      </c>
      <c r="K1" s="4" t="s">
        <v>7</v>
      </c>
      <c r="L1" s="4" t="s">
        <v>8</v>
      </c>
      <c r="M1" s="4" t="s">
        <v>9</v>
      </c>
      <c r="N1" s="4" t="s">
        <v>10</v>
      </c>
      <c r="O1" s="4" t="s">
        <v>11</v>
      </c>
      <c r="Q1" s="9"/>
    </row>
    <row r="2" spans="1:17" ht="15" customHeight="1">
      <c r="A2" s="9" t="s">
        <v>407</v>
      </c>
      <c r="B2" s="9" t="s">
        <v>412</v>
      </c>
      <c r="C2" s="9" t="s">
        <v>12</v>
      </c>
      <c r="D2" s="10">
        <v>7</v>
      </c>
      <c r="E2" s="11" t="s">
        <v>19</v>
      </c>
      <c r="F2" s="11" t="s">
        <v>19</v>
      </c>
      <c r="G2" s="11" t="s">
        <v>20</v>
      </c>
      <c r="H2" s="11" t="s">
        <v>21</v>
      </c>
      <c r="I2" s="11" t="s">
        <v>22</v>
      </c>
      <c r="J2" s="12" t="s">
        <v>23</v>
      </c>
      <c r="K2" s="12" t="s">
        <v>24</v>
      </c>
      <c r="L2" s="12" t="s">
        <v>25</v>
      </c>
      <c r="M2" s="12" t="s">
        <v>26</v>
      </c>
      <c r="N2" s="12" t="s">
        <v>27</v>
      </c>
      <c r="O2" s="12" t="s">
        <v>28</v>
      </c>
    </row>
    <row r="3" spans="1:17" ht="15" customHeight="1">
      <c r="A3" s="9" t="s">
        <v>407</v>
      </c>
      <c r="B3" s="9" t="s">
        <v>412</v>
      </c>
      <c r="C3" s="9" t="s">
        <v>29</v>
      </c>
      <c r="D3" s="10">
        <v>10</v>
      </c>
      <c r="E3" s="11" t="s">
        <v>30</v>
      </c>
      <c r="F3" s="11"/>
      <c r="G3" s="11" t="s">
        <v>31</v>
      </c>
      <c r="H3" s="11" t="s">
        <v>32</v>
      </c>
      <c r="I3" s="11" t="s">
        <v>33</v>
      </c>
      <c r="J3" s="11" t="s">
        <v>34</v>
      </c>
      <c r="K3" s="11" t="s">
        <v>35</v>
      </c>
      <c r="L3" s="11" t="s">
        <v>36</v>
      </c>
      <c r="M3" s="11" t="s">
        <v>37</v>
      </c>
      <c r="N3" s="11" t="s">
        <v>38</v>
      </c>
      <c r="O3" s="11" t="s">
        <v>39</v>
      </c>
    </row>
    <row r="4" spans="1:17" ht="15" customHeight="1">
      <c r="A4" s="9" t="s">
        <v>407</v>
      </c>
      <c r="B4" s="9" t="s">
        <v>412</v>
      </c>
      <c r="C4" s="9" t="s">
        <v>40</v>
      </c>
      <c r="D4" s="10">
        <v>7</v>
      </c>
      <c r="E4" s="11" t="s">
        <v>41</v>
      </c>
      <c r="F4" s="11"/>
      <c r="G4" s="11" t="s">
        <v>42</v>
      </c>
      <c r="H4" s="11" t="s">
        <v>43</v>
      </c>
      <c r="I4" s="11" t="s">
        <v>44</v>
      </c>
      <c r="J4" s="11" t="s">
        <v>45</v>
      </c>
      <c r="K4" s="11" t="s">
        <v>46</v>
      </c>
      <c r="L4" s="11" t="s">
        <v>47</v>
      </c>
      <c r="M4" s="11" t="s">
        <v>48</v>
      </c>
      <c r="N4" s="11" t="s">
        <v>49</v>
      </c>
      <c r="O4" s="11" t="s">
        <v>50</v>
      </c>
    </row>
    <row r="5" spans="1:17" ht="15" customHeight="1">
      <c r="A5" s="9" t="s">
        <v>407</v>
      </c>
      <c r="B5" s="9" t="s">
        <v>412</v>
      </c>
      <c r="C5" s="9" t="s">
        <v>51</v>
      </c>
      <c r="D5" s="10">
        <v>11</v>
      </c>
      <c r="E5" s="11" t="s">
        <v>52</v>
      </c>
      <c r="F5" s="11" t="s">
        <v>53</v>
      </c>
      <c r="G5" s="11" t="s">
        <v>54</v>
      </c>
      <c r="H5" s="11" t="s">
        <v>55</v>
      </c>
      <c r="I5" s="11" t="s">
        <v>56</v>
      </c>
      <c r="J5" s="11" t="s">
        <v>57</v>
      </c>
      <c r="K5" s="11" t="s">
        <v>58</v>
      </c>
      <c r="L5" s="11" t="s">
        <v>59</v>
      </c>
      <c r="M5" s="11" t="s">
        <v>60</v>
      </c>
      <c r="N5" s="11" t="s">
        <v>61</v>
      </c>
      <c r="O5" s="11" t="s">
        <v>62</v>
      </c>
    </row>
    <row r="6" spans="1:17" ht="15" customHeight="1">
      <c r="A6" s="9" t="s">
        <v>407</v>
      </c>
      <c r="B6" s="9" t="s">
        <v>412</v>
      </c>
      <c r="C6" s="9" t="s">
        <v>63</v>
      </c>
      <c r="D6" s="10">
        <v>10</v>
      </c>
      <c r="E6" s="11" t="s">
        <v>64</v>
      </c>
      <c r="F6" s="11" t="s">
        <v>65</v>
      </c>
      <c r="G6" s="11" t="s">
        <v>65</v>
      </c>
      <c r="H6" s="11" t="s">
        <v>66</v>
      </c>
      <c r="I6" s="11" t="s">
        <v>67</v>
      </c>
      <c r="J6" s="11" t="s">
        <v>68</v>
      </c>
      <c r="K6" s="11" t="s">
        <v>69</v>
      </c>
      <c r="L6" s="11" t="s">
        <v>70</v>
      </c>
      <c r="M6" s="11" t="s">
        <v>71</v>
      </c>
      <c r="N6" s="11" t="s">
        <v>72</v>
      </c>
      <c r="O6" s="11" t="s">
        <v>73</v>
      </c>
    </row>
    <row r="7" spans="1:17" ht="15" customHeight="1">
      <c r="A7" s="9" t="s">
        <v>407</v>
      </c>
      <c r="B7" s="9" t="s">
        <v>412</v>
      </c>
      <c r="C7" s="9" t="s">
        <v>74</v>
      </c>
      <c r="D7" s="10">
        <v>14.5</v>
      </c>
      <c r="E7" s="11" t="s">
        <v>52</v>
      </c>
      <c r="F7" s="11" t="s">
        <v>75</v>
      </c>
      <c r="G7" s="11" t="s">
        <v>76</v>
      </c>
      <c r="H7" s="11" t="s">
        <v>77</v>
      </c>
      <c r="I7" s="11" t="s">
        <v>78</v>
      </c>
      <c r="J7" s="11" t="s">
        <v>79</v>
      </c>
      <c r="K7" s="11" t="s">
        <v>80</v>
      </c>
      <c r="L7" s="11" t="s">
        <v>81</v>
      </c>
      <c r="M7" s="11" t="s">
        <v>82</v>
      </c>
      <c r="N7" s="11" t="s">
        <v>83</v>
      </c>
      <c r="O7" s="11" t="s">
        <v>84</v>
      </c>
    </row>
    <row r="8" spans="1:17" ht="15" customHeight="1">
      <c r="A8" s="9" t="s">
        <v>407</v>
      </c>
      <c r="B8" s="9" t="s">
        <v>412</v>
      </c>
      <c r="C8" s="9" t="s">
        <v>85</v>
      </c>
      <c r="D8" s="10">
        <v>13.5</v>
      </c>
      <c r="E8" s="11" t="s">
        <v>52</v>
      </c>
      <c r="F8" s="11"/>
      <c r="G8" s="11" t="s">
        <v>86</v>
      </c>
      <c r="H8" s="11" t="s">
        <v>87</v>
      </c>
      <c r="I8" s="11" t="s">
        <v>88</v>
      </c>
      <c r="J8" s="11" t="s">
        <v>89</v>
      </c>
      <c r="K8" s="11" t="s">
        <v>90</v>
      </c>
      <c r="L8" s="11" t="s">
        <v>91</v>
      </c>
      <c r="M8" s="11" t="s">
        <v>92</v>
      </c>
      <c r="N8" s="11" t="s">
        <v>93</v>
      </c>
      <c r="O8" s="11" t="s">
        <v>94</v>
      </c>
    </row>
    <row r="9" spans="1:17" ht="15" customHeight="1">
      <c r="A9" s="9" t="s">
        <v>407</v>
      </c>
      <c r="B9" s="9" t="s">
        <v>412</v>
      </c>
      <c r="C9" s="9" t="s">
        <v>95</v>
      </c>
      <c r="D9" s="13">
        <v>4</v>
      </c>
      <c r="E9" s="11" t="s">
        <v>96</v>
      </c>
      <c r="F9" s="11" t="s">
        <v>97</v>
      </c>
      <c r="G9" s="11" t="s">
        <v>97</v>
      </c>
      <c r="H9" s="11" t="s">
        <v>98</v>
      </c>
      <c r="I9" s="11" t="s">
        <v>99</v>
      </c>
      <c r="J9" s="11" t="s">
        <v>100</v>
      </c>
      <c r="K9" s="11" t="s">
        <v>101</v>
      </c>
      <c r="L9" s="11" t="s">
        <v>102</v>
      </c>
      <c r="M9" s="11" t="s">
        <v>103</v>
      </c>
      <c r="N9" s="11" t="s">
        <v>104</v>
      </c>
      <c r="O9" s="11" t="s">
        <v>105</v>
      </c>
    </row>
    <row r="10" spans="1:17" ht="15" customHeight="1">
      <c r="A10" s="9" t="s">
        <v>407</v>
      </c>
      <c r="B10" s="9" t="s">
        <v>412</v>
      </c>
      <c r="C10" s="9" t="s">
        <v>106</v>
      </c>
      <c r="D10" s="13">
        <v>5.5</v>
      </c>
      <c r="E10" s="11" t="s">
        <v>107</v>
      </c>
      <c r="F10" s="11" t="s">
        <v>108</v>
      </c>
      <c r="G10" s="11" t="s">
        <v>109</v>
      </c>
      <c r="H10" s="11" t="s">
        <v>110</v>
      </c>
      <c r="I10" s="11" t="s">
        <v>111</v>
      </c>
      <c r="J10" s="11" t="s">
        <v>112</v>
      </c>
      <c r="K10" s="11" t="s">
        <v>113</v>
      </c>
      <c r="L10" s="11" t="s">
        <v>114</v>
      </c>
      <c r="M10" s="11" t="s">
        <v>115</v>
      </c>
      <c r="N10" s="11" t="s">
        <v>116</v>
      </c>
      <c r="O10" s="11" t="s">
        <v>117</v>
      </c>
    </row>
    <row r="11" spans="1:17" ht="15" customHeight="1">
      <c r="A11" s="9" t="s">
        <v>407</v>
      </c>
      <c r="B11" s="9" t="s">
        <v>412</v>
      </c>
      <c r="C11" s="9" t="s">
        <v>118</v>
      </c>
      <c r="D11" s="13">
        <v>5.5</v>
      </c>
      <c r="E11" s="11" t="s">
        <v>107</v>
      </c>
      <c r="F11" s="11"/>
      <c r="G11" s="11" t="s">
        <v>119</v>
      </c>
      <c r="H11" s="11" t="s">
        <v>120</v>
      </c>
      <c r="I11" s="11" t="s">
        <v>121</v>
      </c>
      <c r="J11" s="11" t="s">
        <v>122</v>
      </c>
      <c r="K11" s="11" t="s">
        <v>123</v>
      </c>
      <c r="L11" s="11" t="s">
        <v>124</v>
      </c>
      <c r="M11" s="11" t="s">
        <v>125</v>
      </c>
      <c r="N11" s="11" t="s">
        <v>126</v>
      </c>
      <c r="O11" s="11" t="s">
        <v>127</v>
      </c>
    </row>
    <row r="12" spans="1:17" ht="15" customHeight="1">
      <c r="A12" s="9" t="s">
        <v>407</v>
      </c>
      <c r="B12" s="9" t="s">
        <v>412</v>
      </c>
      <c r="C12" s="9" t="s">
        <v>128</v>
      </c>
      <c r="D12" s="13">
        <v>4</v>
      </c>
      <c r="E12" s="11" t="s">
        <v>129</v>
      </c>
      <c r="F12" s="11" t="s">
        <v>130</v>
      </c>
      <c r="G12" s="11" t="s">
        <v>131</v>
      </c>
      <c r="H12" s="11" t="s">
        <v>132</v>
      </c>
      <c r="I12" s="11" t="s">
        <v>133</v>
      </c>
      <c r="J12" s="11" t="s">
        <v>134</v>
      </c>
      <c r="K12" s="11" t="s">
        <v>135</v>
      </c>
      <c r="L12" s="11" t="s">
        <v>136</v>
      </c>
      <c r="M12" s="11" t="s">
        <v>137</v>
      </c>
      <c r="N12" s="11" t="s">
        <v>138</v>
      </c>
      <c r="O12" s="11" t="s">
        <v>139</v>
      </c>
    </row>
    <row r="13" spans="1:17" ht="15" customHeight="1">
      <c r="A13" s="9" t="s">
        <v>407</v>
      </c>
      <c r="B13" s="9" t="s">
        <v>412</v>
      </c>
      <c r="C13" s="9" t="s">
        <v>140</v>
      </c>
      <c r="D13" s="13">
        <v>4</v>
      </c>
      <c r="E13" s="11" t="s">
        <v>129</v>
      </c>
      <c r="F13" s="11"/>
      <c r="G13" s="11" t="s">
        <v>141</v>
      </c>
      <c r="H13" s="11" t="s">
        <v>142</v>
      </c>
      <c r="I13" s="11" t="s">
        <v>143</v>
      </c>
      <c r="J13" s="11" t="s">
        <v>144</v>
      </c>
      <c r="K13" s="11" t="s">
        <v>145</v>
      </c>
      <c r="L13" s="11" t="s">
        <v>146</v>
      </c>
      <c r="M13" s="11" t="s">
        <v>147</v>
      </c>
      <c r="N13" s="11" t="s">
        <v>148</v>
      </c>
      <c r="O13" s="11" t="s">
        <v>149</v>
      </c>
    </row>
    <row r="14" spans="1:17" ht="15" customHeight="1">
      <c r="A14" s="9" t="s">
        <v>407</v>
      </c>
      <c r="B14" s="9" t="s">
        <v>412</v>
      </c>
      <c r="C14" s="9" t="s">
        <v>150</v>
      </c>
      <c r="D14" s="13">
        <v>4</v>
      </c>
      <c r="E14" s="11" t="s">
        <v>107</v>
      </c>
      <c r="F14" s="14" t="s">
        <v>151</v>
      </c>
      <c r="G14" s="14" t="s">
        <v>152</v>
      </c>
      <c r="H14" s="14" t="s">
        <v>153</v>
      </c>
      <c r="I14" s="11" t="s">
        <v>154</v>
      </c>
      <c r="J14" s="11" t="s">
        <v>155</v>
      </c>
      <c r="K14" s="11" t="s">
        <v>156</v>
      </c>
      <c r="L14" s="11" t="s">
        <v>157</v>
      </c>
      <c r="M14" s="11" t="s">
        <v>158</v>
      </c>
      <c r="N14" s="11" t="s">
        <v>159</v>
      </c>
      <c r="O14" s="11" t="s">
        <v>160</v>
      </c>
    </row>
    <row r="15" spans="1:17" ht="15" customHeight="1">
      <c r="A15" s="9" t="s">
        <v>409</v>
      </c>
      <c r="B15" s="9" t="s">
        <v>412</v>
      </c>
      <c r="C15" s="9" t="s">
        <v>12</v>
      </c>
      <c r="D15" s="10">
        <v>7</v>
      </c>
      <c r="E15" s="11" t="s">
        <v>30</v>
      </c>
      <c r="F15" s="11" t="s">
        <v>30</v>
      </c>
      <c r="G15" s="11" t="s">
        <v>161</v>
      </c>
      <c r="H15" s="11" t="s">
        <v>162</v>
      </c>
      <c r="I15" s="11" t="s">
        <v>163</v>
      </c>
      <c r="J15" s="12" t="s">
        <v>164</v>
      </c>
      <c r="K15" s="12" t="s">
        <v>165</v>
      </c>
      <c r="L15" s="12" t="s">
        <v>166</v>
      </c>
      <c r="M15" s="12" t="s">
        <v>26</v>
      </c>
      <c r="N15" s="12" t="s">
        <v>27</v>
      </c>
      <c r="O15" s="12" t="s">
        <v>28</v>
      </c>
    </row>
    <row r="16" spans="1:17" ht="15" customHeight="1">
      <c r="A16" s="9" t="s">
        <v>409</v>
      </c>
      <c r="B16" s="9" t="s">
        <v>412</v>
      </c>
      <c r="C16" s="9" t="s">
        <v>29</v>
      </c>
      <c r="D16" s="10">
        <v>10</v>
      </c>
      <c r="E16" s="11" t="s">
        <v>30</v>
      </c>
      <c r="F16" s="11"/>
      <c r="G16" s="11" t="s">
        <v>31</v>
      </c>
      <c r="H16" s="11" t="s">
        <v>32</v>
      </c>
      <c r="I16" s="11" t="s">
        <v>33</v>
      </c>
      <c r="J16" s="11" t="s">
        <v>34</v>
      </c>
      <c r="K16" s="11" t="s">
        <v>35</v>
      </c>
      <c r="L16" s="11" t="s">
        <v>36</v>
      </c>
      <c r="M16" s="11" t="s">
        <v>167</v>
      </c>
      <c r="N16" s="11" t="s">
        <v>168</v>
      </c>
      <c r="O16" s="11" t="s">
        <v>169</v>
      </c>
    </row>
    <row r="17" spans="1:15" ht="15" customHeight="1">
      <c r="A17" s="9" t="s">
        <v>409</v>
      </c>
      <c r="B17" s="9" t="s">
        <v>412</v>
      </c>
      <c r="C17" s="9" t="s">
        <v>170</v>
      </c>
      <c r="D17" s="10">
        <v>7</v>
      </c>
      <c r="E17" s="11" t="s">
        <v>30</v>
      </c>
      <c r="F17" s="11"/>
      <c r="G17" s="11" t="s">
        <v>171</v>
      </c>
      <c r="H17" s="11" t="s">
        <v>172</v>
      </c>
      <c r="I17" s="11" t="s">
        <v>173</v>
      </c>
      <c r="J17" s="11" t="s">
        <v>174</v>
      </c>
      <c r="K17" s="11" t="s">
        <v>175</v>
      </c>
      <c r="L17" s="11" t="s">
        <v>176</v>
      </c>
      <c r="M17" s="11" t="s">
        <v>177</v>
      </c>
      <c r="N17" s="11" t="s">
        <v>178</v>
      </c>
      <c r="O17" s="11" t="s">
        <v>179</v>
      </c>
    </row>
    <row r="18" spans="1:15" ht="15" customHeight="1">
      <c r="A18" s="9" t="s">
        <v>409</v>
      </c>
      <c r="B18" s="9" t="s">
        <v>412</v>
      </c>
      <c r="C18" s="9" t="s">
        <v>180</v>
      </c>
      <c r="D18" s="10">
        <v>11</v>
      </c>
      <c r="E18" s="11" t="s">
        <v>181</v>
      </c>
      <c r="F18" s="11" t="s">
        <v>182</v>
      </c>
      <c r="G18" s="11" t="s">
        <v>183</v>
      </c>
      <c r="H18" s="11" t="s">
        <v>184</v>
      </c>
      <c r="I18" s="11" t="s">
        <v>185</v>
      </c>
      <c r="J18" s="11" t="s">
        <v>186</v>
      </c>
      <c r="K18" s="11" t="s">
        <v>187</v>
      </c>
      <c r="L18" s="11" t="s">
        <v>188</v>
      </c>
      <c r="M18" s="11" t="s">
        <v>189</v>
      </c>
      <c r="N18" s="11" t="s">
        <v>190</v>
      </c>
      <c r="O18" s="11" t="s">
        <v>191</v>
      </c>
    </row>
    <row r="19" spans="1:15" ht="15" customHeight="1">
      <c r="A19" s="9" t="s">
        <v>409</v>
      </c>
      <c r="B19" s="9" t="s">
        <v>412</v>
      </c>
      <c r="C19" s="9" t="s">
        <v>192</v>
      </c>
      <c r="D19" s="10">
        <v>10</v>
      </c>
      <c r="E19" s="11" t="s">
        <v>181</v>
      </c>
      <c r="F19" s="11" t="s">
        <v>193</v>
      </c>
      <c r="G19" s="11" t="s">
        <v>193</v>
      </c>
      <c r="H19" s="11" t="s">
        <v>194</v>
      </c>
      <c r="I19" s="11" t="s">
        <v>195</v>
      </c>
      <c r="J19" s="11" t="s">
        <v>196</v>
      </c>
      <c r="K19" s="11" t="s">
        <v>197</v>
      </c>
      <c r="L19" s="11" t="s">
        <v>198</v>
      </c>
      <c r="M19" s="11" t="s">
        <v>199</v>
      </c>
      <c r="N19" s="11" t="s">
        <v>200</v>
      </c>
      <c r="O19" s="11" t="s">
        <v>201</v>
      </c>
    </row>
    <row r="20" spans="1:15" ht="15" customHeight="1">
      <c r="A20" s="9" t="s">
        <v>409</v>
      </c>
      <c r="B20" s="9" t="s">
        <v>412</v>
      </c>
      <c r="C20" s="9" t="s">
        <v>202</v>
      </c>
      <c r="D20" s="10">
        <v>14.5</v>
      </c>
      <c r="E20" s="11" t="s">
        <v>181</v>
      </c>
      <c r="F20" s="11" t="s">
        <v>203</v>
      </c>
      <c r="G20" s="11" t="s">
        <v>204</v>
      </c>
      <c r="H20" s="11" t="s">
        <v>205</v>
      </c>
      <c r="I20" s="11" t="s">
        <v>206</v>
      </c>
      <c r="J20" s="11" t="s">
        <v>207</v>
      </c>
      <c r="K20" s="11" t="s">
        <v>208</v>
      </c>
      <c r="L20" s="11" t="s">
        <v>209</v>
      </c>
      <c r="M20" s="11" t="s">
        <v>210</v>
      </c>
      <c r="N20" s="11" t="s">
        <v>211</v>
      </c>
      <c r="O20" s="11" t="s">
        <v>212</v>
      </c>
    </row>
    <row r="21" spans="1:15" ht="15" customHeight="1">
      <c r="A21" s="9" t="s">
        <v>409</v>
      </c>
      <c r="B21" s="9" t="s">
        <v>412</v>
      </c>
      <c r="C21" s="9" t="s">
        <v>213</v>
      </c>
      <c r="D21" s="10">
        <v>13.5</v>
      </c>
      <c r="E21" s="11" t="s">
        <v>181</v>
      </c>
      <c r="F21" s="11"/>
      <c r="G21" s="11" t="s">
        <v>214</v>
      </c>
      <c r="H21" s="11" t="s">
        <v>215</v>
      </c>
      <c r="I21" s="11" t="s">
        <v>88</v>
      </c>
      <c r="J21" s="11" t="s">
        <v>89</v>
      </c>
      <c r="K21" s="11" t="s">
        <v>90</v>
      </c>
      <c r="L21" s="11" t="s">
        <v>91</v>
      </c>
      <c r="M21" s="11" t="s">
        <v>92</v>
      </c>
      <c r="N21" s="11" t="s">
        <v>93</v>
      </c>
      <c r="O21" s="11" t="s">
        <v>94</v>
      </c>
    </row>
    <row r="22" spans="1:15" ht="15" customHeight="1">
      <c r="A22" s="9" t="s">
        <v>409</v>
      </c>
      <c r="B22" s="9" t="s">
        <v>412</v>
      </c>
      <c r="C22" s="9" t="s">
        <v>95</v>
      </c>
      <c r="D22" s="13">
        <v>4</v>
      </c>
      <c r="E22" s="11" t="s">
        <v>96</v>
      </c>
      <c r="F22" s="11" t="s">
        <v>97</v>
      </c>
      <c r="G22" s="11" t="s">
        <v>97</v>
      </c>
      <c r="H22" s="11" t="s">
        <v>98</v>
      </c>
      <c r="I22" s="11" t="s">
        <v>99</v>
      </c>
      <c r="J22" s="11" t="s">
        <v>216</v>
      </c>
      <c r="K22" s="11" t="s">
        <v>217</v>
      </c>
      <c r="L22" s="11" t="s">
        <v>218</v>
      </c>
      <c r="M22" s="11" t="s">
        <v>219</v>
      </c>
      <c r="N22" s="11" t="s">
        <v>220</v>
      </c>
      <c r="O22" s="11" t="s">
        <v>221</v>
      </c>
    </row>
    <row r="23" spans="1:15" ht="15" customHeight="1">
      <c r="A23" s="9" t="s">
        <v>409</v>
      </c>
      <c r="B23" s="9" t="s">
        <v>412</v>
      </c>
      <c r="C23" s="9" t="s">
        <v>222</v>
      </c>
      <c r="D23" s="13">
        <v>5.5</v>
      </c>
      <c r="E23" s="11" t="s">
        <v>96</v>
      </c>
      <c r="F23" s="11" t="s">
        <v>223</v>
      </c>
      <c r="G23" s="11" t="s">
        <v>224</v>
      </c>
      <c r="H23" s="11" t="s">
        <v>225</v>
      </c>
      <c r="I23" s="11" t="s">
        <v>226</v>
      </c>
      <c r="J23" s="11" t="s">
        <v>227</v>
      </c>
      <c r="K23" s="11" t="s">
        <v>228</v>
      </c>
      <c r="L23" s="11" t="s">
        <v>229</v>
      </c>
      <c r="M23" s="11" t="s">
        <v>230</v>
      </c>
      <c r="N23" s="11" t="s">
        <v>231</v>
      </c>
      <c r="O23" s="11" t="s">
        <v>232</v>
      </c>
    </row>
    <row r="24" spans="1:15" ht="15" customHeight="1">
      <c r="A24" s="9" t="s">
        <v>409</v>
      </c>
      <c r="B24" s="9" t="s">
        <v>412</v>
      </c>
      <c r="C24" s="9" t="s">
        <v>233</v>
      </c>
      <c r="D24" s="13">
        <v>5.5</v>
      </c>
      <c r="E24" s="11" t="s">
        <v>96</v>
      </c>
      <c r="F24" s="11"/>
      <c r="G24" s="11" t="s">
        <v>234</v>
      </c>
      <c r="H24" s="11" t="s">
        <v>235</v>
      </c>
      <c r="I24" s="11" t="s">
        <v>236</v>
      </c>
      <c r="J24" s="11" t="s">
        <v>237</v>
      </c>
      <c r="K24" s="11" t="s">
        <v>238</v>
      </c>
      <c r="L24" s="11" t="s">
        <v>239</v>
      </c>
      <c r="M24" s="11" t="s">
        <v>240</v>
      </c>
      <c r="N24" s="11" t="s">
        <v>241</v>
      </c>
      <c r="O24" s="11" t="s">
        <v>242</v>
      </c>
    </row>
    <row r="25" spans="1:15" ht="15" customHeight="1">
      <c r="A25" s="9" t="s">
        <v>409</v>
      </c>
      <c r="B25" s="9" t="s">
        <v>412</v>
      </c>
      <c r="C25" s="9" t="s">
        <v>243</v>
      </c>
      <c r="D25" s="13">
        <v>4</v>
      </c>
      <c r="E25" s="11" t="s">
        <v>96</v>
      </c>
      <c r="F25" s="11" t="s">
        <v>244</v>
      </c>
      <c r="G25" s="11" t="s">
        <v>245</v>
      </c>
      <c r="H25" s="11" t="s">
        <v>246</v>
      </c>
      <c r="I25" s="11" t="s">
        <v>247</v>
      </c>
      <c r="J25" s="11" t="s">
        <v>248</v>
      </c>
      <c r="K25" s="11" t="s">
        <v>249</v>
      </c>
      <c r="L25" s="11" t="s">
        <v>250</v>
      </c>
      <c r="M25" s="11" t="s">
        <v>251</v>
      </c>
      <c r="N25" s="11" t="s">
        <v>252</v>
      </c>
      <c r="O25" s="11" t="s">
        <v>253</v>
      </c>
    </row>
    <row r="26" spans="1:15" ht="15" customHeight="1">
      <c r="A26" s="9" t="s">
        <v>409</v>
      </c>
      <c r="B26" s="9" t="s">
        <v>412</v>
      </c>
      <c r="C26" s="9" t="s">
        <v>254</v>
      </c>
      <c r="D26" s="13">
        <v>4</v>
      </c>
      <c r="E26" s="11" t="s">
        <v>96</v>
      </c>
      <c r="F26" s="11"/>
      <c r="G26" s="11" t="s">
        <v>255</v>
      </c>
      <c r="H26" s="11" t="s">
        <v>256</v>
      </c>
      <c r="I26" s="11" t="s">
        <v>257</v>
      </c>
      <c r="J26" s="11" t="s">
        <v>258</v>
      </c>
      <c r="K26" s="11" t="s">
        <v>259</v>
      </c>
      <c r="L26" s="11" t="s">
        <v>260</v>
      </c>
      <c r="M26" s="11" t="s">
        <v>261</v>
      </c>
      <c r="N26" s="11" t="s">
        <v>262</v>
      </c>
      <c r="O26" s="11" t="s">
        <v>263</v>
      </c>
    </row>
    <row r="27" spans="1:15" ht="15" customHeight="1">
      <c r="A27" s="9" t="s">
        <v>409</v>
      </c>
      <c r="B27" s="9" t="s">
        <v>412</v>
      </c>
      <c r="C27" s="9" t="s">
        <v>264</v>
      </c>
      <c r="D27" s="13">
        <v>4</v>
      </c>
      <c r="E27" s="11" t="s">
        <v>96</v>
      </c>
      <c r="F27" s="14" t="s">
        <v>151</v>
      </c>
      <c r="G27" s="14" t="s">
        <v>152</v>
      </c>
      <c r="H27" s="14" t="s">
        <v>153</v>
      </c>
      <c r="I27" s="11" t="s">
        <v>154</v>
      </c>
      <c r="J27" s="11" t="s">
        <v>155</v>
      </c>
      <c r="K27" s="11" t="s">
        <v>156</v>
      </c>
      <c r="L27" s="11" t="s">
        <v>157</v>
      </c>
      <c r="M27" s="11" t="s">
        <v>158</v>
      </c>
      <c r="N27" s="11" t="s">
        <v>159</v>
      </c>
      <c r="O27" s="11" t="s">
        <v>160</v>
      </c>
    </row>
    <row r="28" spans="1:15" ht="15" customHeight="1">
      <c r="A28" s="9" t="s">
        <v>410</v>
      </c>
      <c r="B28" s="9" t="s">
        <v>412</v>
      </c>
      <c r="C28" s="9" t="s">
        <v>12</v>
      </c>
      <c r="D28" s="10">
        <v>7</v>
      </c>
      <c r="E28" s="11" t="s">
        <v>30</v>
      </c>
      <c r="F28" s="11" t="s">
        <v>30</v>
      </c>
      <c r="G28" s="11" t="s">
        <v>161</v>
      </c>
      <c r="H28" s="11" t="s">
        <v>162</v>
      </c>
      <c r="I28" s="11" t="s">
        <v>163</v>
      </c>
      <c r="J28" s="12" t="s">
        <v>164</v>
      </c>
      <c r="K28" s="12" t="s">
        <v>165</v>
      </c>
      <c r="L28" s="12" t="s">
        <v>166</v>
      </c>
      <c r="M28" s="12" t="s">
        <v>26</v>
      </c>
      <c r="N28" s="12" t="s">
        <v>27</v>
      </c>
      <c r="O28" s="12" t="s">
        <v>28</v>
      </c>
    </row>
    <row r="29" spans="1:15" ht="15" customHeight="1">
      <c r="A29" s="9" t="s">
        <v>410</v>
      </c>
      <c r="B29" s="9" t="s">
        <v>412</v>
      </c>
      <c r="C29" s="9" t="s">
        <v>29</v>
      </c>
      <c r="D29" s="10">
        <v>10</v>
      </c>
      <c r="E29" s="11" t="s">
        <v>30</v>
      </c>
      <c r="F29" s="11"/>
      <c r="G29" s="11" t="s">
        <v>31</v>
      </c>
      <c r="H29" s="11" t="s">
        <v>32</v>
      </c>
      <c r="I29" s="11" t="s">
        <v>33</v>
      </c>
      <c r="J29" s="11" t="s">
        <v>34</v>
      </c>
      <c r="K29" s="11" t="s">
        <v>35</v>
      </c>
      <c r="L29" s="11" t="s">
        <v>36</v>
      </c>
      <c r="M29" s="11" t="s">
        <v>167</v>
      </c>
      <c r="N29" s="11" t="s">
        <v>168</v>
      </c>
      <c r="O29" s="11" t="s">
        <v>169</v>
      </c>
    </row>
    <row r="30" spans="1:15" ht="15" customHeight="1">
      <c r="A30" s="9" t="s">
        <v>410</v>
      </c>
      <c r="B30" s="9" t="s">
        <v>412</v>
      </c>
      <c r="C30" s="9" t="s">
        <v>170</v>
      </c>
      <c r="D30" s="10">
        <v>7</v>
      </c>
      <c r="E30" s="11" t="s">
        <v>30</v>
      </c>
      <c r="F30" s="11"/>
      <c r="G30" s="11" t="s">
        <v>171</v>
      </c>
      <c r="H30" s="11" t="s">
        <v>172</v>
      </c>
      <c r="I30" s="11" t="s">
        <v>173</v>
      </c>
      <c r="J30" s="11" t="s">
        <v>174</v>
      </c>
      <c r="K30" s="11" t="s">
        <v>175</v>
      </c>
      <c r="L30" s="11" t="s">
        <v>176</v>
      </c>
      <c r="M30" s="11" t="s">
        <v>177</v>
      </c>
      <c r="N30" s="11" t="s">
        <v>178</v>
      </c>
      <c r="O30" s="11" t="s">
        <v>179</v>
      </c>
    </row>
    <row r="31" spans="1:15" ht="15" customHeight="1">
      <c r="A31" s="9" t="s">
        <v>410</v>
      </c>
      <c r="B31" s="9" t="s">
        <v>412</v>
      </c>
      <c r="C31" s="9" t="s">
        <v>180</v>
      </c>
      <c r="D31" s="10">
        <v>11</v>
      </c>
      <c r="E31" s="11" t="s">
        <v>181</v>
      </c>
      <c r="F31" s="11" t="s">
        <v>182</v>
      </c>
      <c r="G31" s="11" t="s">
        <v>183</v>
      </c>
      <c r="H31" s="11" t="s">
        <v>184</v>
      </c>
      <c r="I31" s="11" t="s">
        <v>185</v>
      </c>
      <c r="J31" s="11" t="s">
        <v>186</v>
      </c>
      <c r="K31" s="11" t="s">
        <v>187</v>
      </c>
      <c r="L31" s="11" t="s">
        <v>188</v>
      </c>
      <c r="M31" s="11" t="s">
        <v>189</v>
      </c>
      <c r="N31" s="11" t="s">
        <v>190</v>
      </c>
      <c r="O31" s="11" t="s">
        <v>191</v>
      </c>
    </row>
    <row r="32" spans="1:15" ht="15" customHeight="1">
      <c r="A32" s="9" t="s">
        <v>410</v>
      </c>
      <c r="B32" s="9" t="s">
        <v>412</v>
      </c>
      <c r="C32" s="9" t="s">
        <v>192</v>
      </c>
      <c r="D32" s="10">
        <v>10</v>
      </c>
      <c r="E32" s="11" t="s">
        <v>181</v>
      </c>
      <c r="F32" s="11" t="s">
        <v>193</v>
      </c>
      <c r="G32" s="11" t="s">
        <v>193</v>
      </c>
      <c r="H32" s="11" t="s">
        <v>194</v>
      </c>
      <c r="I32" s="11" t="s">
        <v>195</v>
      </c>
      <c r="J32" s="11" t="s">
        <v>196</v>
      </c>
      <c r="K32" s="11" t="s">
        <v>197</v>
      </c>
      <c r="L32" s="11" t="s">
        <v>198</v>
      </c>
      <c r="M32" s="11" t="s">
        <v>199</v>
      </c>
      <c r="N32" s="11" t="s">
        <v>200</v>
      </c>
      <c r="O32" s="11" t="s">
        <v>201</v>
      </c>
    </row>
    <row r="33" spans="1:15" ht="15" customHeight="1">
      <c r="A33" s="9" t="s">
        <v>410</v>
      </c>
      <c r="B33" s="9" t="s">
        <v>412</v>
      </c>
      <c r="C33" s="9" t="s">
        <v>202</v>
      </c>
      <c r="D33" s="10">
        <v>14.5</v>
      </c>
      <c r="E33" s="11" t="s">
        <v>181</v>
      </c>
      <c r="F33" s="11" t="s">
        <v>203</v>
      </c>
      <c r="G33" s="11" t="s">
        <v>204</v>
      </c>
      <c r="H33" s="11" t="s">
        <v>205</v>
      </c>
      <c r="I33" s="11" t="s">
        <v>206</v>
      </c>
      <c r="J33" s="11" t="s">
        <v>207</v>
      </c>
      <c r="K33" s="11" t="s">
        <v>208</v>
      </c>
      <c r="L33" s="11" t="s">
        <v>209</v>
      </c>
      <c r="M33" s="11" t="s">
        <v>210</v>
      </c>
      <c r="N33" s="11" t="s">
        <v>211</v>
      </c>
      <c r="O33" s="11" t="s">
        <v>212</v>
      </c>
    </row>
    <row r="34" spans="1:15" ht="15" customHeight="1">
      <c r="A34" s="9" t="s">
        <v>410</v>
      </c>
      <c r="B34" s="9" t="s">
        <v>412</v>
      </c>
      <c r="C34" s="9" t="s">
        <v>213</v>
      </c>
      <c r="D34" s="10">
        <v>13.5</v>
      </c>
      <c r="E34" s="11" t="s">
        <v>181</v>
      </c>
      <c r="F34" s="11"/>
      <c r="G34" s="11" t="s">
        <v>214</v>
      </c>
      <c r="H34" s="11" t="s">
        <v>215</v>
      </c>
      <c r="I34" s="11" t="s">
        <v>88</v>
      </c>
      <c r="J34" s="11" t="s">
        <v>89</v>
      </c>
      <c r="K34" s="11" t="s">
        <v>90</v>
      </c>
      <c r="L34" s="11" t="s">
        <v>91</v>
      </c>
      <c r="M34" s="11" t="s">
        <v>92</v>
      </c>
      <c r="N34" s="11" t="s">
        <v>93</v>
      </c>
      <c r="O34" s="11" t="s">
        <v>94</v>
      </c>
    </row>
    <row r="35" spans="1:15" ht="15" customHeight="1">
      <c r="A35" s="9" t="s">
        <v>410</v>
      </c>
      <c r="B35" s="9" t="s">
        <v>412</v>
      </c>
      <c r="C35" s="9" t="s">
        <v>95</v>
      </c>
      <c r="D35" s="13">
        <v>4</v>
      </c>
      <c r="E35" s="11" t="s">
        <v>96</v>
      </c>
      <c r="F35" s="11" t="s">
        <v>97</v>
      </c>
      <c r="G35" s="11" t="s">
        <v>97</v>
      </c>
      <c r="H35" s="11" t="s">
        <v>98</v>
      </c>
      <c r="I35" s="11" t="s">
        <v>99</v>
      </c>
      <c r="J35" s="11" t="s">
        <v>216</v>
      </c>
      <c r="K35" s="11" t="s">
        <v>217</v>
      </c>
      <c r="L35" s="11" t="s">
        <v>218</v>
      </c>
      <c r="M35" s="11" t="s">
        <v>219</v>
      </c>
      <c r="N35" s="11" t="s">
        <v>220</v>
      </c>
      <c r="O35" s="11" t="s">
        <v>221</v>
      </c>
    </row>
    <row r="36" spans="1:15" ht="15" customHeight="1">
      <c r="A36" s="9" t="s">
        <v>410</v>
      </c>
      <c r="B36" s="9" t="s">
        <v>412</v>
      </c>
      <c r="C36" s="9" t="s">
        <v>222</v>
      </c>
      <c r="D36" s="13">
        <v>5.5</v>
      </c>
      <c r="E36" s="11" t="s">
        <v>96</v>
      </c>
      <c r="F36" s="11" t="s">
        <v>223</v>
      </c>
      <c r="G36" s="11" t="s">
        <v>224</v>
      </c>
      <c r="H36" s="11" t="s">
        <v>225</v>
      </c>
      <c r="I36" s="11" t="s">
        <v>226</v>
      </c>
      <c r="J36" s="11" t="s">
        <v>227</v>
      </c>
      <c r="K36" s="11" t="s">
        <v>228</v>
      </c>
      <c r="L36" s="11" t="s">
        <v>229</v>
      </c>
      <c r="M36" s="11" t="s">
        <v>230</v>
      </c>
      <c r="N36" s="11" t="s">
        <v>231</v>
      </c>
      <c r="O36" s="11" t="s">
        <v>232</v>
      </c>
    </row>
    <row r="37" spans="1:15" ht="15" customHeight="1">
      <c r="A37" s="9" t="s">
        <v>410</v>
      </c>
      <c r="B37" s="9" t="s">
        <v>412</v>
      </c>
      <c r="C37" s="9" t="s">
        <v>233</v>
      </c>
      <c r="D37" s="13">
        <v>5.5</v>
      </c>
      <c r="E37" s="11" t="s">
        <v>96</v>
      </c>
      <c r="F37" s="11"/>
      <c r="G37" s="11" t="s">
        <v>234</v>
      </c>
      <c r="H37" s="11" t="s">
        <v>235</v>
      </c>
      <c r="I37" s="11" t="s">
        <v>236</v>
      </c>
      <c r="J37" s="11" t="s">
        <v>237</v>
      </c>
      <c r="K37" s="11" t="s">
        <v>238</v>
      </c>
      <c r="L37" s="11" t="s">
        <v>239</v>
      </c>
      <c r="M37" s="11" t="s">
        <v>240</v>
      </c>
      <c r="N37" s="11" t="s">
        <v>241</v>
      </c>
      <c r="O37" s="11" t="s">
        <v>242</v>
      </c>
    </row>
    <row r="38" spans="1:15" ht="15" customHeight="1">
      <c r="A38" s="9" t="s">
        <v>410</v>
      </c>
      <c r="B38" s="9" t="s">
        <v>412</v>
      </c>
      <c r="C38" s="9" t="s">
        <v>243</v>
      </c>
      <c r="D38" s="13">
        <v>4</v>
      </c>
      <c r="E38" s="11" t="s">
        <v>96</v>
      </c>
      <c r="F38" s="11" t="s">
        <v>244</v>
      </c>
      <c r="G38" s="11" t="s">
        <v>245</v>
      </c>
      <c r="H38" s="11" t="s">
        <v>246</v>
      </c>
      <c r="I38" s="11" t="s">
        <v>247</v>
      </c>
      <c r="J38" s="11" t="s">
        <v>248</v>
      </c>
      <c r="K38" s="11" t="s">
        <v>249</v>
      </c>
      <c r="L38" s="11" t="s">
        <v>250</v>
      </c>
      <c r="M38" s="11" t="s">
        <v>251</v>
      </c>
      <c r="N38" s="11" t="s">
        <v>252</v>
      </c>
      <c r="O38" s="11" t="s">
        <v>253</v>
      </c>
    </row>
    <row r="39" spans="1:15" ht="15" customHeight="1">
      <c r="A39" s="9" t="s">
        <v>410</v>
      </c>
      <c r="B39" s="9" t="s">
        <v>412</v>
      </c>
      <c r="C39" s="9" t="s">
        <v>254</v>
      </c>
      <c r="D39" s="13">
        <v>4</v>
      </c>
      <c r="E39" s="11" t="s">
        <v>96</v>
      </c>
      <c r="F39" s="11"/>
      <c r="G39" s="11" t="s">
        <v>255</v>
      </c>
      <c r="H39" s="11" t="s">
        <v>256</v>
      </c>
      <c r="I39" s="11" t="s">
        <v>257</v>
      </c>
      <c r="J39" s="11" t="s">
        <v>258</v>
      </c>
      <c r="K39" s="11" t="s">
        <v>259</v>
      </c>
      <c r="L39" s="11" t="s">
        <v>260</v>
      </c>
      <c r="M39" s="11" t="s">
        <v>261</v>
      </c>
      <c r="N39" s="11" t="s">
        <v>262</v>
      </c>
      <c r="O39" s="11" t="s">
        <v>263</v>
      </c>
    </row>
    <row r="40" spans="1:15" ht="15" customHeight="1">
      <c r="A40" s="9" t="s">
        <v>410</v>
      </c>
      <c r="B40" s="9" t="s">
        <v>412</v>
      </c>
      <c r="C40" s="9" t="s">
        <v>264</v>
      </c>
      <c r="D40" s="13">
        <v>4</v>
      </c>
      <c r="E40" s="11" t="s">
        <v>96</v>
      </c>
      <c r="F40" s="14" t="s">
        <v>151</v>
      </c>
      <c r="G40" s="14" t="s">
        <v>152</v>
      </c>
      <c r="H40" s="14" t="s">
        <v>153</v>
      </c>
      <c r="I40" s="11" t="s">
        <v>154</v>
      </c>
      <c r="J40" s="11" t="s">
        <v>155</v>
      </c>
      <c r="K40" s="11" t="s">
        <v>156</v>
      </c>
      <c r="L40" s="11" t="s">
        <v>157</v>
      </c>
      <c r="M40" s="11" t="s">
        <v>158</v>
      </c>
      <c r="N40" s="11" t="s">
        <v>159</v>
      </c>
      <c r="O40" s="11" t="s">
        <v>160</v>
      </c>
    </row>
    <row r="41" spans="1:15" ht="15" customHeight="1">
      <c r="A41" s="9" t="s">
        <v>407</v>
      </c>
      <c r="B41" s="1" t="s">
        <v>413</v>
      </c>
      <c r="C41" s="9" t="s">
        <v>12</v>
      </c>
      <c r="D41" s="10">
        <v>7</v>
      </c>
      <c r="E41" s="11" t="s">
        <v>30</v>
      </c>
      <c r="F41" s="11" t="s">
        <v>30</v>
      </c>
      <c r="G41" s="11" t="s">
        <v>161</v>
      </c>
      <c r="H41" s="11" t="s">
        <v>162</v>
      </c>
      <c r="I41" s="11" t="s">
        <v>163</v>
      </c>
      <c r="J41" s="12" t="s">
        <v>164</v>
      </c>
      <c r="K41" s="12" t="s">
        <v>165</v>
      </c>
      <c r="L41" s="12" t="s">
        <v>166</v>
      </c>
      <c r="M41" s="12" t="s">
        <v>26</v>
      </c>
      <c r="N41" s="12" t="s">
        <v>27</v>
      </c>
      <c r="O41" s="12" t="s">
        <v>28</v>
      </c>
    </row>
    <row r="42" spans="1:15" ht="15" customHeight="1">
      <c r="A42" s="9" t="s">
        <v>407</v>
      </c>
      <c r="B42" s="1" t="s">
        <v>413</v>
      </c>
      <c r="C42" s="9" t="s">
        <v>29</v>
      </c>
      <c r="D42" s="10">
        <v>11</v>
      </c>
      <c r="E42" s="11" t="s">
        <v>30</v>
      </c>
      <c r="F42" s="11"/>
      <c r="G42" s="11" t="s">
        <v>31</v>
      </c>
      <c r="H42" s="11" t="s">
        <v>32</v>
      </c>
      <c r="I42" s="11" t="s">
        <v>33</v>
      </c>
      <c r="J42" s="11" t="s">
        <v>34</v>
      </c>
      <c r="K42" s="11" t="s">
        <v>35</v>
      </c>
      <c r="L42" s="11" t="s">
        <v>36</v>
      </c>
      <c r="M42" s="11" t="s">
        <v>167</v>
      </c>
      <c r="N42" s="11" t="s">
        <v>168</v>
      </c>
      <c r="O42" s="11" t="s">
        <v>169</v>
      </c>
    </row>
    <row r="43" spans="1:15" ht="15" customHeight="1">
      <c r="A43" s="9" t="s">
        <v>407</v>
      </c>
      <c r="B43" s="1" t="s">
        <v>413</v>
      </c>
      <c r="C43" s="9" t="s">
        <v>170</v>
      </c>
      <c r="D43" s="10">
        <v>7</v>
      </c>
      <c r="E43" s="11" t="s">
        <v>30</v>
      </c>
      <c r="F43" s="11"/>
      <c r="G43" s="11" t="s">
        <v>171</v>
      </c>
      <c r="H43" s="11" t="s">
        <v>172</v>
      </c>
      <c r="I43" s="11" t="s">
        <v>173</v>
      </c>
      <c r="J43" s="11" t="s">
        <v>174</v>
      </c>
      <c r="K43" s="11" t="s">
        <v>175</v>
      </c>
      <c r="L43" s="11" t="s">
        <v>176</v>
      </c>
      <c r="M43" s="11" t="s">
        <v>177</v>
      </c>
      <c r="N43" s="11" t="s">
        <v>178</v>
      </c>
      <c r="O43" s="11" t="s">
        <v>179</v>
      </c>
    </row>
    <row r="44" spans="1:15" ht="15" customHeight="1">
      <c r="A44" s="9" t="s">
        <v>407</v>
      </c>
      <c r="B44" s="1" t="s">
        <v>413</v>
      </c>
      <c r="C44" s="9" t="s">
        <v>180</v>
      </c>
      <c r="D44" s="10">
        <v>12</v>
      </c>
      <c r="E44" s="11" t="s">
        <v>181</v>
      </c>
      <c r="F44" s="11" t="s">
        <v>182</v>
      </c>
      <c r="G44" s="11" t="s">
        <v>183</v>
      </c>
      <c r="H44" s="11" t="s">
        <v>184</v>
      </c>
      <c r="I44" s="11" t="s">
        <v>185</v>
      </c>
      <c r="J44" s="11" t="s">
        <v>186</v>
      </c>
      <c r="K44" s="11" t="s">
        <v>187</v>
      </c>
      <c r="L44" s="11" t="s">
        <v>188</v>
      </c>
      <c r="M44" s="11" t="s">
        <v>189</v>
      </c>
      <c r="N44" s="11" t="s">
        <v>190</v>
      </c>
      <c r="O44" s="11" t="s">
        <v>191</v>
      </c>
    </row>
    <row r="45" spans="1:15" ht="15" customHeight="1">
      <c r="A45" s="9" t="s">
        <v>407</v>
      </c>
      <c r="B45" s="1" t="s">
        <v>413</v>
      </c>
      <c r="C45" s="9" t="s">
        <v>192</v>
      </c>
      <c r="D45" s="10">
        <v>8</v>
      </c>
      <c r="E45" s="11" t="s">
        <v>181</v>
      </c>
      <c r="F45" s="11" t="s">
        <v>193</v>
      </c>
      <c r="G45" s="11" t="s">
        <v>193</v>
      </c>
      <c r="H45" s="11" t="s">
        <v>194</v>
      </c>
      <c r="I45" s="11" t="s">
        <v>195</v>
      </c>
      <c r="J45" s="11" t="s">
        <v>196</v>
      </c>
      <c r="K45" s="11" t="s">
        <v>197</v>
      </c>
      <c r="L45" s="11" t="s">
        <v>198</v>
      </c>
      <c r="M45" s="11" t="s">
        <v>199</v>
      </c>
      <c r="N45" s="11" t="s">
        <v>200</v>
      </c>
      <c r="O45" s="11" t="s">
        <v>201</v>
      </c>
    </row>
    <row r="46" spans="1:15" ht="15" customHeight="1">
      <c r="A46" s="9" t="s">
        <v>407</v>
      </c>
      <c r="B46" s="1" t="s">
        <v>413</v>
      </c>
      <c r="C46" s="9" t="s">
        <v>202</v>
      </c>
      <c r="D46" s="10">
        <v>14</v>
      </c>
      <c r="E46" s="11" t="s">
        <v>181</v>
      </c>
      <c r="F46" s="11" t="s">
        <v>203</v>
      </c>
      <c r="G46" s="11" t="s">
        <v>204</v>
      </c>
      <c r="H46" s="11" t="s">
        <v>205</v>
      </c>
      <c r="I46" s="11" t="s">
        <v>206</v>
      </c>
      <c r="J46" s="11" t="s">
        <v>207</v>
      </c>
      <c r="K46" s="11" t="s">
        <v>208</v>
      </c>
      <c r="L46" s="11" t="s">
        <v>209</v>
      </c>
      <c r="M46" s="11" t="s">
        <v>210</v>
      </c>
      <c r="N46" s="11" t="s">
        <v>211</v>
      </c>
      <c r="O46" s="11" t="s">
        <v>212</v>
      </c>
    </row>
    <row r="47" spans="1:15" ht="15" customHeight="1">
      <c r="A47" s="9" t="s">
        <v>407</v>
      </c>
      <c r="B47" s="1" t="s">
        <v>413</v>
      </c>
      <c r="C47" s="9" t="s">
        <v>213</v>
      </c>
      <c r="D47" s="10">
        <v>13</v>
      </c>
      <c r="E47" s="11" t="s">
        <v>181</v>
      </c>
      <c r="F47" s="11"/>
      <c r="G47" s="11" t="s">
        <v>214</v>
      </c>
      <c r="H47" s="11" t="s">
        <v>215</v>
      </c>
      <c r="I47" s="11" t="s">
        <v>88</v>
      </c>
      <c r="J47" s="11" t="s">
        <v>89</v>
      </c>
      <c r="K47" s="11" t="s">
        <v>90</v>
      </c>
      <c r="L47" s="11" t="s">
        <v>91</v>
      </c>
      <c r="M47" s="11" t="s">
        <v>92</v>
      </c>
      <c r="N47" s="11" t="s">
        <v>93</v>
      </c>
      <c r="O47" s="11" t="s">
        <v>94</v>
      </c>
    </row>
    <row r="48" spans="1:15" ht="15" customHeight="1">
      <c r="A48" s="9" t="s">
        <v>407</v>
      </c>
      <c r="B48" s="1" t="s">
        <v>413</v>
      </c>
      <c r="C48" s="9" t="s">
        <v>95</v>
      </c>
      <c r="D48" s="13">
        <v>4</v>
      </c>
      <c r="E48" s="11" t="s">
        <v>96</v>
      </c>
      <c r="F48" s="11" t="s">
        <v>97</v>
      </c>
      <c r="G48" s="11" t="s">
        <v>97</v>
      </c>
      <c r="H48" s="11" t="s">
        <v>98</v>
      </c>
      <c r="I48" s="11" t="s">
        <v>99</v>
      </c>
      <c r="J48" s="11" t="s">
        <v>216</v>
      </c>
      <c r="K48" s="11" t="s">
        <v>217</v>
      </c>
      <c r="L48" s="11" t="s">
        <v>218</v>
      </c>
      <c r="M48" s="11" t="s">
        <v>219</v>
      </c>
      <c r="N48" s="11" t="s">
        <v>220</v>
      </c>
      <c r="O48" s="11" t="s">
        <v>221</v>
      </c>
    </row>
    <row r="49" spans="1:15" ht="15" customHeight="1">
      <c r="A49" s="9" t="s">
        <v>407</v>
      </c>
      <c r="B49" s="1" t="s">
        <v>413</v>
      </c>
      <c r="C49" s="9" t="s">
        <v>222</v>
      </c>
      <c r="D49" s="13">
        <v>5.5</v>
      </c>
      <c r="E49" s="11" t="s">
        <v>96</v>
      </c>
      <c r="F49" s="11" t="s">
        <v>223</v>
      </c>
      <c r="G49" s="11" t="s">
        <v>224</v>
      </c>
      <c r="H49" s="11" t="s">
        <v>225</v>
      </c>
      <c r="I49" s="11" t="s">
        <v>226</v>
      </c>
      <c r="J49" s="11" t="s">
        <v>227</v>
      </c>
      <c r="K49" s="11" t="s">
        <v>228</v>
      </c>
      <c r="L49" s="11" t="s">
        <v>229</v>
      </c>
      <c r="M49" s="11" t="s">
        <v>230</v>
      </c>
      <c r="N49" s="11" t="s">
        <v>231</v>
      </c>
      <c r="O49" s="11" t="s">
        <v>232</v>
      </c>
    </row>
    <row r="50" spans="1:15" ht="15" customHeight="1">
      <c r="A50" s="9" t="s">
        <v>407</v>
      </c>
      <c r="B50" s="1" t="s">
        <v>413</v>
      </c>
      <c r="C50" s="9" t="s">
        <v>233</v>
      </c>
      <c r="D50" s="13">
        <v>5.5</v>
      </c>
      <c r="E50" s="11" t="s">
        <v>96</v>
      </c>
      <c r="F50" s="11"/>
      <c r="G50" s="11" t="s">
        <v>234</v>
      </c>
      <c r="H50" s="11" t="s">
        <v>235</v>
      </c>
      <c r="I50" s="11" t="s">
        <v>236</v>
      </c>
      <c r="J50" s="11" t="s">
        <v>237</v>
      </c>
      <c r="K50" s="11" t="s">
        <v>238</v>
      </c>
      <c r="L50" s="11" t="s">
        <v>239</v>
      </c>
      <c r="M50" s="11" t="s">
        <v>240</v>
      </c>
      <c r="N50" s="11" t="s">
        <v>241</v>
      </c>
      <c r="O50" s="11" t="s">
        <v>242</v>
      </c>
    </row>
    <row r="51" spans="1:15" ht="15" customHeight="1">
      <c r="A51" s="9" t="s">
        <v>407</v>
      </c>
      <c r="B51" s="1" t="s">
        <v>413</v>
      </c>
      <c r="C51" s="9" t="s">
        <v>243</v>
      </c>
      <c r="D51" s="13">
        <v>4</v>
      </c>
      <c r="E51" s="11" t="s">
        <v>96</v>
      </c>
      <c r="F51" s="11" t="s">
        <v>244</v>
      </c>
      <c r="G51" s="11" t="s">
        <v>245</v>
      </c>
      <c r="H51" s="11" t="s">
        <v>246</v>
      </c>
      <c r="I51" s="11" t="s">
        <v>247</v>
      </c>
      <c r="J51" s="11" t="s">
        <v>248</v>
      </c>
      <c r="K51" s="11" t="s">
        <v>249</v>
      </c>
      <c r="L51" s="11" t="s">
        <v>250</v>
      </c>
      <c r="M51" s="11" t="s">
        <v>251</v>
      </c>
      <c r="N51" s="11" t="s">
        <v>252</v>
      </c>
      <c r="O51" s="11" t="s">
        <v>253</v>
      </c>
    </row>
    <row r="52" spans="1:15" ht="15" customHeight="1">
      <c r="A52" s="9" t="s">
        <v>407</v>
      </c>
      <c r="B52" s="1" t="s">
        <v>413</v>
      </c>
      <c r="C52" s="9" t="s">
        <v>254</v>
      </c>
      <c r="D52" s="13">
        <v>5</v>
      </c>
      <c r="E52" s="11" t="s">
        <v>96</v>
      </c>
      <c r="F52" s="11"/>
      <c r="G52" s="11" t="s">
        <v>255</v>
      </c>
      <c r="H52" s="11" t="s">
        <v>256</v>
      </c>
      <c r="I52" s="11" t="s">
        <v>257</v>
      </c>
      <c r="J52" s="11" t="s">
        <v>258</v>
      </c>
      <c r="K52" s="11" t="s">
        <v>259</v>
      </c>
      <c r="L52" s="11" t="s">
        <v>260</v>
      </c>
      <c r="M52" s="11" t="s">
        <v>261</v>
      </c>
      <c r="N52" s="11" t="s">
        <v>262</v>
      </c>
      <c r="O52" s="11" t="s">
        <v>263</v>
      </c>
    </row>
    <row r="53" spans="1:15" ht="15" customHeight="1">
      <c r="A53" s="9" t="s">
        <v>407</v>
      </c>
      <c r="B53" s="1" t="s">
        <v>413</v>
      </c>
      <c r="C53" s="9" t="s">
        <v>264</v>
      </c>
      <c r="D53" s="13">
        <v>4</v>
      </c>
      <c r="E53" s="11" t="s">
        <v>96</v>
      </c>
      <c r="F53" s="14" t="s">
        <v>151</v>
      </c>
      <c r="G53" s="14" t="s">
        <v>152</v>
      </c>
      <c r="H53" s="14" t="s">
        <v>153</v>
      </c>
      <c r="I53" s="11" t="s">
        <v>154</v>
      </c>
      <c r="J53" s="11" t="s">
        <v>155</v>
      </c>
      <c r="K53" s="11" t="s">
        <v>156</v>
      </c>
      <c r="L53" s="11" t="s">
        <v>157</v>
      </c>
      <c r="M53" s="11" t="s">
        <v>158</v>
      </c>
      <c r="N53" s="11" t="s">
        <v>159</v>
      </c>
      <c r="O53" s="11" t="s">
        <v>160</v>
      </c>
    </row>
    <row r="54" spans="1:15" ht="15" customHeight="1">
      <c r="A54" s="9" t="s">
        <v>407</v>
      </c>
      <c r="B54" s="9" t="s">
        <v>414</v>
      </c>
      <c r="C54" s="9" t="s">
        <v>12</v>
      </c>
      <c r="D54" s="10">
        <v>7</v>
      </c>
      <c r="E54" s="11" t="s">
        <v>30</v>
      </c>
      <c r="F54" s="11" t="s">
        <v>30</v>
      </c>
      <c r="G54" s="11" t="s">
        <v>161</v>
      </c>
      <c r="H54" s="11" t="s">
        <v>162</v>
      </c>
      <c r="I54" s="11" t="s">
        <v>163</v>
      </c>
      <c r="J54" s="12" t="s">
        <v>164</v>
      </c>
      <c r="K54" s="12" t="s">
        <v>165</v>
      </c>
      <c r="L54" s="12" t="s">
        <v>166</v>
      </c>
      <c r="M54" s="12" t="s">
        <v>26</v>
      </c>
      <c r="N54" s="12" t="s">
        <v>27</v>
      </c>
      <c r="O54" s="12" t="s">
        <v>28</v>
      </c>
    </row>
    <row r="55" spans="1:15" ht="15" customHeight="1">
      <c r="A55" s="9" t="s">
        <v>407</v>
      </c>
      <c r="B55" s="9" t="s">
        <v>414</v>
      </c>
      <c r="C55" s="9" t="s">
        <v>29</v>
      </c>
      <c r="D55" s="10">
        <v>11</v>
      </c>
      <c r="E55" s="11" t="s">
        <v>30</v>
      </c>
      <c r="F55" s="11"/>
      <c r="G55" s="11" t="s">
        <v>31</v>
      </c>
      <c r="H55" s="11" t="s">
        <v>32</v>
      </c>
      <c r="I55" s="11" t="s">
        <v>33</v>
      </c>
      <c r="J55" s="11" t="s">
        <v>34</v>
      </c>
      <c r="K55" s="11" t="s">
        <v>35</v>
      </c>
      <c r="L55" s="11" t="s">
        <v>36</v>
      </c>
      <c r="M55" s="11" t="s">
        <v>167</v>
      </c>
      <c r="N55" s="11" t="s">
        <v>168</v>
      </c>
      <c r="O55" s="11" t="s">
        <v>169</v>
      </c>
    </row>
    <row r="56" spans="1:15" ht="15" customHeight="1">
      <c r="A56" s="9" t="s">
        <v>407</v>
      </c>
      <c r="B56" s="9" t="s">
        <v>414</v>
      </c>
      <c r="C56" s="9" t="s">
        <v>170</v>
      </c>
      <c r="D56" s="10">
        <v>7</v>
      </c>
      <c r="E56" s="11" t="s">
        <v>30</v>
      </c>
      <c r="F56" s="11"/>
      <c r="G56" s="11" t="s">
        <v>171</v>
      </c>
      <c r="H56" s="11" t="s">
        <v>172</v>
      </c>
      <c r="I56" s="11" t="s">
        <v>173</v>
      </c>
      <c r="J56" s="11" t="s">
        <v>174</v>
      </c>
      <c r="K56" s="11" t="s">
        <v>175</v>
      </c>
      <c r="L56" s="11" t="s">
        <v>176</v>
      </c>
      <c r="M56" s="11" t="s">
        <v>177</v>
      </c>
      <c r="N56" s="11" t="s">
        <v>178</v>
      </c>
      <c r="O56" s="11" t="s">
        <v>179</v>
      </c>
    </row>
    <row r="57" spans="1:15" ht="15" customHeight="1">
      <c r="A57" s="9" t="s">
        <v>407</v>
      </c>
      <c r="B57" s="9" t="s">
        <v>414</v>
      </c>
      <c r="C57" s="9" t="s">
        <v>180</v>
      </c>
      <c r="D57" s="10">
        <v>12</v>
      </c>
      <c r="E57" s="11" t="s">
        <v>181</v>
      </c>
      <c r="F57" s="11" t="s">
        <v>182</v>
      </c>
      <c r="G57" s="11" t="s">
        <v>183</v>
      </c>
      <c r="H57" s="11" t="s">
        <v>184</v>
      </c>
      <c r="I57" s="11" t="s">
        <v>185</v>
      </c>
      <c r="J57" s="11" t="s">
        <v>186</v>
      </c>
      <c r="K57" s="11" t="s">
        <v>187</v>
      </c>
      <c r="L57" s="11" t="s">
        <v>188</v>
      </c>
      <c r="M57" s="11" t="s">
        <v>189</v>
      </c>
      <c r="N57" s="11" t="s">
        <v>190</v>
      </c>
      <c r="O57" s="11" t="s">
        <v>191</v>
      </c>
    </row>
    <row r="58" spans="1:15" ht="15" customHeight="1">
      <c r="A58" s="9" t="s">
        <v>407</v>
      </c>
      <c r="B58" s="9" t="s">
        <v>414</v>
      </c>
      <c r="C58" s="9" t="s">
        <v>192</v>
      </c>
      <c r="D58" s="10">
        <v>8</v>
      </c>
      <c r="E58" s="11" t="s">
        <v>181</v>
      </c>
      <c r="F58" s="11" t="s">
        <v>193</v>
      </c>
      <c r="G58" s="11" t="s">
        <v>193</v>
      </c>
      <c r="H58" s="11" t="s">
        <v>194</v>
      </c>
      <c r="I58" s="11" t="s">
        <v>195</v>
      </c>
      <c r="J58" s="11" t="s">
        <v>196</v>
      </c>
      <c r="K58" s="11" t="s">
        <v>197</v>
      </c>
      <c r="L58" s="11" t="s">
        <v>198</v>
      </c>
      <c r="M58" s="11" t="s">
        <v>199</v>
      </c>
      <c r="N58" s="11" t="s">
        <v>200</v>
      </c>
      <c r="O58" s="11" t="s">
        <v>201</v>
      </c>
    </row>
    <row r="59" spans="1:15" ht="15" customHeight="1">
      <c r="A59" s="9" t="s">
        <v>407</v>
      </c>
      <c r="B59" s="9" t="s">
        <v>414</v>
      </c>
      <c r="C59" s="9" t="s">
        <v>202</v>
      </c>
      <c r="D59" s="10">
        <v>14</v>
      </c>
      <c r="E59" s="11" t="s">
        <v>181</v>
      </c>
      <c r="F59" s="11" t="s">
        <v>203</v>
      </c>
      <c r="G59" s="11" t="s">
        <v>204</v>
      </c>
      <c r="H59" s="11" t="s">
        <v>205</v>
      </c>
      <c r="I59" s="11" t="s">
        <v>206</v>
      </c>
      <c r="J59" s="11" t="s">
        <v>207</v>
      </c>
      <c r="K59" s="11" t="s">
        <v>208</v>
      </c>
      <c r="L59" s="11" t="s">
        <v>209</v>
      </c>
      <c r="M59" s="11" t="s">
        <v>210</v>
      </c>
      <c r="N59" s="11" t="s">
        <v>211</v>
      </c>
      <c r="O59" s="11" t="s">
        <v>212</v>
      </c>
    </row>
    <row r="60" spans="1:15" ht="15" customHeight="1">
      <c r="A60" s="9" t="s">
        <v>407</v>
      </c>
      <c r="B60" s="9" t="s">
        <v>414</v>
      </c>
      <c r="C60" s="9" t="s">
        <v>213</v>
      </c>
      <c r="D60" s="10">
        <v>13</v>
      </c>
      <c r="E60" s="11" t="s">
        <v>181</v>
      </c>
      <c r="F60" s="11"/>
      <c r="G60" s="11" t="s">
        <v>214</v>
      </c>
      <c r="H60" s="11" t="s">
        <v>215</v>
      </c>
      <c r="I60" s="11" t="s">
        <v>88</v>
      </c>
      <c r="J60" s="11" t="s">
        <v>89</v>
      </c>
      <c r="K60" s="11" t="s">
        <v>90</v>
      </c>
      <c r="L60" s="11" t="s">
        <v>91</v>
      </c>
      <c r="M60" s="11" t="s">
        <v>92</v>
      </c>
      <c r="N60" s="11" t="s">
        <v>93</v>
      </c>
      <c r="O60" s="11" t="s">
        <v>94</v>
      </c>
    </row>
    <row r="61" spans="1:15" ht="15" customHeight="1">
      <c r="A61" s="9" t="s">
        <v>407</v>
      </c>
      <c r="B61" s="9" t="s">
        <v>414</v>
      </c>
      <c r="C61" s="9" t="s">
        <v>95</v>
      </c>
      <c r="D61" s="13">
        <v>4</v>
      </c>
      <c r="E61" s="11" t="s">
        <v>96</v>
      </c>
      <c r="F61" s="11" t="s">
        <v>97</v>
      </c>
      <c r="G61" s="11" t="s">
        <v>97</v>
      </c>
      <c r="H61" s="11" t="s">
        <v>98</v>
      </c>
      <c r="I61" s="11" t="s">
        <v>99</v>
      </c>
      <c r="J61" s="11" t="s">
        <v>216</v>
      </c>
      <c r="K61" s="11" t="s">
        <v>217</v>
      </c>
      <c r="L61" s="11" t="s">
        <v>218</v>
      </c>
      <c r="M61" s="11" t="s">
        <v>219</v>
      </c>
      <c r="N61" s="11" t="s">
        <v>220</v>
      </c>
      <c r="O61" s="11" t="s">
        <v>221</v>
      </c>
    </row>
    <row r="62" spans="1:15" ht="15" customHeight="1">
      <c r="A62" s="9" t="s">
        <v>407</v>
      </c>
      <c r="B62" s="9" t="s">
        <v>414</v>
      </c>
      <c r="C62" s="9" t="s">
        <v>222</v>
      </c>
      <c r="D62" s="13">
        <v>5.5</v>
      </c>
      <c r="E62" s="11" t="s">
        <v>96</v>
      </c>
      <c r="F62" s="11" t="s">
        <v>223</v>
      </c>
      <c r="G62" s="11" t="s">
        <v>224</v>
      </c>
      <c r="H62" s="11" t="s">
        <v>225</v>
      </c>
      <c r="I62" s="11" t="s">
        <v>226</v>
      </c>
      <c r="J62" s="11" t="s">
        <v>227</v>
      </c>
      <c r="K62" s="11" t="s">
        <v>228</v>
      </c>
      <c r="L62" s="11" t="s">
        <v>229</v>
      </c>
      <c r="M62" s="11" t="s">
        <v>230</v>
      </c>
      <c r="N62" s="11" t="s">
        <v>231</v>
      </c>
      <c r="O62" s="11" t="s">
        <v>232</v>
      </c>
    </row>
    <row r="63" spans="1:15" ht="15" customHeight="1">
      <c r="A63" s="9" t="s">
        <v>407</v>
      </c>
      <c r="B63" s="9" t="s">
        <v>414</v>
      </c>
      <c r="C63" s="9" t="s">
        <v>233</v>
      </c>
      <c r="D63" s="13">
        <v>5.5</v>
      </c>
      <c r="E63" s="11" t="s">
        <v>96</v>
      </c>
      <c r="F63" s="11"/>
      <c r="G63" s="11" t="s">
        <v>234</v>
      </c>
      <c r="H63" s="11" t="s">
        <v>235</v>
      </c>
      <c r="I63" s="11" t="s">
        <v>236</v>
      </c>
      <c r="J63" s="11" t="s">
        <v>237</v>
      </c>
      <c r="K63" s="11" t="s">
        <v>238</v>
      </c>
      <c r="L63" s="11" t="s">
        <v>239</v>
      </c>
      <c r="M63" s="11" t="s">
        <v>240</v>
      </c>
      <c r="N63" s="11" t="s">
        <v>241</v>
      </c>
      <c r="O63" s="11" t="s">
        <v>242</v>
      </c>
    </row>
    <row r="64" spans="1:15" ht="15" customHeight="1">
      <c r="A64" s="9" t="s">
        <v>407</v>
      </c>
      <c r="B64" s="9" t="s">
        <v>414</v>
      </c>
      <c r="C64" s="9" t="s">
        <v>243</v>
      </c>
      <c r="D64" s="13">
        <v>4</v>
      </c>
      <c r="E64" s="11" t="s">
        <v>96</v>
      </c>
      <c r="F64" s="11" t="s">
        <v>244</v>
      </c>
      <c r="G64" s="11" t="s">
        <v>245</v>
      </c>
      <c r="H64" s="11" t="s">
        <v>246</v>
      </c>
      <c r="I64" s="11" t="s">
        <v>247</v>
      </c>
      <c r="J64" s="11" t="s">
        <v>248</v>
      </c>
      <c r="K64" s="11" t="s">
        <v>249</v>
      </c>
      <c r="L64" s="11" t="s">
        <v>250</v>
      </c>
      <c r="M64" s="11" t="s">
        <v>251</v>
      </c>
      <c r="N64" s="11" t="s">
        <v>252</v>
      </c>
      <c r="O64" s="11" t="s">
        <v>253</v>
      </c>
    </row>
    <row r="65" spans="1:15" ht="15" customHeight="1">
      <c r="A65" s="9" t="s">
        <v>407</v>
      </c>
      <c r="B65" s="9" t="s">
        <v>414</v>
      </c>
      <c r="C65" s="9" t="s">
        <v>254</v>
      </c>
      <c r="D65" s="13">
        <v>5</v>
      </c>
      <c r="E65" s="11" t="s">
        <v>96</v>
      </c>
      <c r="F65" s="11"/>
      <c r="G65" s="11" t="s">
        <v>255</v>
      </c>
      <c r="H65" s="11" t="s">
        <v>256</v>
      </c>
      <c r="I65" s="11" t="s">
        <v>257</v>
      </c>
      <c r="J65" s="11" t="s">
        <v>258</v>
      </c>
      <c r="K65" s="11" t="s">
        <v>259</v>
      </c>
      <c r="L65" s="11" t="s">
        <v>260</v>
      </c>
      <c r="M65" s="11" t="s">
        <v>261</v>
      </c>
      <c r="N65" s="11" t="s">
        <v>262</v>
      </c>
      <c r="O65" s="11" t="s">
        <v>263</v>
      </c>
    </row>
    <row r="66" spans="1:15" ht="15" customHeight="1">
      <c r="A66" s="9" t="s">
        <v>407</v>
      </c>
      <c r="B66" s="9" t="s">
        <v>414</v>
      </c>
      <c r="C66" s="9" t="s">
        <v>264</v>
      </c>
      <c r="D66" s="13">
        <v>4</v>
      </c>
      <c r="E66" s="11" t="s">
        <v>96</v>
      </c>
      <c r="F66" s="14" t="s">
        <v>151</v>
      </c>
      <c r="G66" s="14" t="s">
        <v>152</v>
      </c>
      <c r="H66" s="14" t="s">
        <v>153</v>
      </c>
      <c r="I66" s="11" t="s">
        <v>154</v>
      </c>
      <c r="J66" s="11" t="s">
        <v>155</v>
      </c>
      <c r="K66" s="11" t="s">
        <v>156</v>
      </c>
      <c r="L66" s="11" t="s">
        <v>157</v>
      </c>
      <c r="M66" s="11" t="s">
        <v>158</v>
      </c>
      <c r="N66" s="11" t="s">
        <v>159</v>
      </c>
      <c r="O66" s="11" t="s">
        <v>160</v>
      </c>
    </row>
    <row r="67" spans="1:15" ht="15" customHeight="1">
      <c r="A67" s="9" t="s">
        <v>407</v>
      </c>
      <c r="B67" s="9" t="s">
        <v>415</v>
      </c>
      <c r="C67" s="9" t="s">
        <v>12</v>
      </c>
      <c r="D67" s="10">
        <v>7</v>
      </c>
      <c r="E67" s="11" t="s">
        <v>30</v>
      </c>
      <c r="F67" s="11" t="s">
        <v>30</v>
      </c>
      <c r="G67" s="11" t="s">
        <v>161</v>
      </c>
      <c r="H67" s="11" t="s">
        <v>162</v>
      </c>
      <c r="I67" s="11" t="s">
        <v>163</v>
      </c>
      <c r="J67" s="12" t="s">
        <v>164</v>
      </c>
      <c r="K67" s="12" t="s">
        <v>165</v>
      </c>
      <c r="L67" s="12" t="s">
        <v>166</v>
      </c>
      <c r="M67" s="12" t="s">
        <v>26</v>
      </c>
      <c r="N67" s="12" t="s">
        <v>27</v>
      </c>
      <c r="O67" s="12" t="s">
        <v>28</v>
      </c>
    </row>
    <row r="68" spans="1:15" ht="15" customHeight="1">
      <c r="A68" s="9" t="s">
        <v>407</v>
      </c>
      <c r="B68" s="9" t="s">
        <v>415</v>
      </c>
      <c r="C68" s="9" t="s">
        <v>29</v>
      </c>
      <c r="D68" s="10">
        <v>11</v>
      </c>
      <c r="E68" s="11" t="s">
        <v>30</v>
      </c>
      <c r="F68" s="11"/>
      <c r="G68" s="11" t="s">
        <v>31</v>
      </c>
      <c r="H68" s="11" t="s">
        <v>32</v>
      </c>
      <c r="I68" s="11" t="s">
        <v>33</v>
      </c>
      <c r="J68" s="11" t="s">
        <v>34</v>
      </c>
      <c r="K68" s="11" t="s">
        <v>35</v>
      </c>
      <c r="L68" s="11" t="s">
        <v>36</v>
      </c>
      <c r="M68" s="11" t="s">
        <v>167</v>
      </c>
      <c r="N68" s="11" t="s">
        <v>168</v>
      </c>
      <c r="O68" s="11" t="s">
        <v>169</v>
      </c>
    </row>
    <row r="69" spans="1:15" ht="15" customHeight="1">
      <c r="A69" s="9" t="s">
        <v>407</v>
      </c>
      <c r="B69" s="9" t="s">
        <v>415</v>
      </c>
      <c r="C69" s="9" t="s">
        <v>170</v>
      </c>
      <c r="D69" s="10">
        <v>7</v>
      </c>
      <c r="E69" s="11" t="s">
        <v>30</v>
      </c>
      <c r="F69" s="11"/>
      <c r="G69" s="11" t="s">
        <v>171</v>
      </c>
      <c r="H69" s="11" t="s">
        <v>172</v>
      </c>
      <c r="I69" s="11" t="s">
        <v>173</v>
      </c>
      <c r="J69" s="11" t="s">
        <v>174</v>
      </c>
      <c r="K69" s="11" t="s">
        <v>175</v>
      </c>
      <c r="L69" s="11" t="s">
        <v>176</v>
      </c>
      <c r="M69" s="11" t="s">
        <v>177</v>
      </c>
      <c r="N69" s="11" t="s">
        <v>178</v>
      </c>
      <c r="O69" s="11" t="s">
        <v>179</v>
      </c>
    </row>
    <row r="70" spans="1:15" ht="15" customHeight="1">
      <c r="A70" s="9" t="s">
        <v>407</v>
      </c>
      <c r="B70" s="9" t="s">
        <v>415</v>
      </c>
      <c r="C70" s="9" t="s">
        <v>180</v>
      </c>
      <c r="D70" s="10">
        <v>12</v>
      </c>
      <c r="E70" s="11" t="s">
        <v>181</v>
      </c>
      <c r="F70" s="11" t="s">
        <v>182</v>
      </c>
      <c r="G70" s="11" t="s">
        <v>183</v>
      </c>
      <c r="H70" s="11" t="s">
        <v>184</v>
      </c>
      <c r="I70" s="11" t="s">
        <v>185</v>
      </c>
      <c r="J70" s="11" t="s">
        <v>186</v>
      </c>
      <c r="K70" s="11" t="s">
        <v>187</v>
      </c>
      <c r="L70" s="11" t="s">
        <v>188</v>
      </c>
      <c r="M70" s="11" t="s">
        <v>189</v>
      </c>
      <c r="N70" s="11" t="s">
        <v>190</v>
      </c>
      <c r="O70" s="11" t="s">
        <v>191</v>
      </c>
    </row>
    <row r="71" spans="1:15" ht="15" customHeight="1">
      <c r="A71" s="9" t="s">
        <v>407</v>
      </c>
      <c r="B71" s="9" t="s">
        <v>415</v>
      </c>
      <c r="C71" s="9" t="s">
        <v>192</v>
      </c>
      <c r="D71" s="10">
        <v>8</v>
      </c>
      <c r="E71" s="11" t="s">
        <v>181</v>
      </c>
      <c r="F71" s="11" t="s">
        <v>193</v>
      </c>
      <c r="G71" s="11" t="s">
        <v>193</v>
      </c>
      <c r="H71" s="11" t="s">
        <v>194</v>
      </c>
      <c r="I71" s="11" t="s">
        <v>195</v>
      </c>
      <c r="J71" s="11" t="s">
        <v>196</v>
      </c>
      <c r="K71" s="11" t="s">
        <v>197</v>
      </c>
      <c r="L71" s="11" t="s">
        <v>198</v>
      </c>
      <c r="M71" s="11" t="s">
        <v>199</v>
      </c>
      <c r="N71" s="11" t="s">
        <v>200</v>
      </c>
      <c r="O71" s="11" t="s">
        <v>201</v>
      </c>
    </row>
    <row r="72" spans="1:15" ht="15" customHeight="1">
      <c r="A72" s="9" t="s">
        <v>407</v>
      </c>
      <c r="B72" s="9" t="s">
        <v>415</v>
      </c>
      <c r="C72" s="9" t="s">
        <v>202</v>
      </c>
      <c r="D72" s="10">
        <v>14</v>
      </c>
      <c r="E72" s="11" t="s">
        <v>181</v>
      </c>
      <c r="F72" s="11" t="s">
        <v>203</v>
      </c>
      <c r="G72" s="11" t="s">
        <v>204</v>
      </c>
      <c r="H72" s="11" t="s">
        <v>205</v>
      </c>
      <c r="I72" s="11" t="s">
        <v>206</v>
      </c>
      <c r="J72" s="11" t="s">
        <v>207</v>
      </c>
      <c r="K72" s="11" t="s">
        <v>208</v>
      </c>
      <c r="L72" s="11" t="s">
        <v>209</v>
      </c>
      <c r="M72" s="11" t="s">
        <v>210</v>
      </c>
      <c r="N72" s="11" t="s">
        <v>211</v>
      </c>
      <c r="O72" s="11" t="s">
        <v>212</v>
      </c>
    </row>
    <row r="73" spans="1:15" ht="15" customHeight="1">
      <c r="A73" s="9" t="s">
        <v>407</v>
      </c>
      <c r="B73" s="9" t="s">
        <v>415</v>
      </c>
      <c r="C73" s="9" t="s">
        <v>213</v>
      </c>
      <c r="D73" s="10">
        <v>13</v>
      </c>
      <c r="E73" s="11" t="s">
        <v>181</v>
      </c>
      <c r="F73" s="11"/>
      <c r="G73" s="11" t="s">
        <v>214</v>
      </c>
      <c r="H73" s="11" t="s">
        <v>215</v>
      </c>
      <c r="I73" s="11" t="s">
        <v>88</v>
      </c>
      <c r="J73" s="11" t="s">
        <v>89</v>
      </c>
      <c r="K73" s="11" t="s">
        <v>90</v>
      </c>
      <c r="L73" s="11" t="s">
        <v>91</v>
      </c>
      <c r="M73" s="11" t="s">
        <v>92</v>
      </c>
      <c r="N73" s="11" t="s">
        <v>93</v>
      </c>
      <c r="O73" s="11" t="s">
        <v>94</v>
      </c>
    </row>
    <row r="74" spans="1:15" ht="15" customHeight="1">
      <c r="A74" s="9" t="s">
        <v>407</v>
      </c>
      <c r="B74" s="9" t="s">
        <v>415</v>
      </c>
      <c r="C74" s="9" t="s">
        <v>95</v>
      </c>
      <c r="D74" s="13">
        <v>4</v>
      </c>
      <c r="E74" s="11" t="s">
        <v>96</v>
      </c>
      <c r="F74" s="11" t="s">
        <v>97</v>
      </c>
      <c r="G74" s="11" t="s">
        <v>97</v>
      </c>
      <c r="H74" s="11" t="s">
        <v>98</v>
      </c>
      <c r="I74" s="11" t="s">
        <v>99</v>
      </c>
      <c r="J74" s="11" t="s">
        <v>216</v>
      </c>
      <c r="K74" s="11" t="s">
        <v>217</v>
      </c>
      <c r="L74" s="11" t="s">
        <v>218</v>
      </c>
      <c r="M74" s="11" t="s">
        <v>219</v>
      </c>
      <c r="N74" s="11" t="s">
        <v>220</v>
      </c>
      <c r="O74" s="11" t="s">
        <v>221</v>
      </c>
    </row>
    <row r="75" spans="1:15" ht="15" customHeight="1">
      <c r="A75" s="9" t="s">
        <v>407</v>
      </c>
      <c r="B75" s="9" t="s">
        <v>415</v>
      </c>
      <c r="C75" s="9" t="s">
        <v>222</v>
      </c>
      <c r="D75" s="13">
        <v>5.5</v>
      </c>
      <c r="E75" s="11" t="s">
        <v>96</v>
      </c>
      <c r="F75" s="11" t="s">
        <v>223</v>
      </c>
      <c r="G75" s="11" t="s">
        <v>224</v>
      </c>
      <c r="H75" s="11" t="s">
        <v>225</v>
      </c>
      <c r="I75" s="11" t="s">
        <v>226</v>
      </c>
      <c r="J75" s="11" t="s">
        <v>227</v>
      </c>
      <c r="K75" s="11" t="s">
        <v>228</v>
      </c>
      <c r="L75" s="11" t="s">
        <v>229</v>
      </c>
      <c r="M75" s="11" t="s">
        <v>230</v>
      </c>
      <c r="N75" s="11" t="s">
        <v>231</v>
      </c>
      <c r="O75" s="11" t="s">
        <v>232</v>
      </c>
    </row>
    <row r="76" spans="1:15" ht="15" customHeight="1">
      <c r="A76" s="9" t="s">
        <v>407</v>
      </c>
      <c r="B76" s="9" t="s">
        <v>415</v>
      </c>
      <c r="C76" s="9" t="s">
        <v>233</v>
      </c>
      <c r="D76" s="13">
        <v>5.5</v>
      </c>
      <c r="E76" s="11" t="s">
        <v>96</v>
      </c>
      <c r="F76" s="11"/>
      <c r="G76" s="11" t="s">
        <v>234</v>
      </c>
      <c r="H76" s="11" t="s">
        <v>235</v>
      </c>
      <c r="I76" s="11" t="s">
        <v>236</v>
      </c>
      <c r="J76" s="11" t="s">
        <v>237</v>
      </c>
      <c r="K76" s="11" t="s">
        <v>238</v>
      </c>
      <c r="L76" s="11" t="s">
        <v>239</v>
      </c>
      <c r="M76" s="11" t="s">
        <v>240</v>
      </c>
      <c r="N76" s="11" t="s">
        <v>241</v>
      </c>
      <c r="O76" s="11" t="s">
        <v>242</v>
      </c>
    </row>
    <row r="77" spans="1:15" ht="15" customHeight="1">
      <c r="A77" s="9" t="s">
        <v>407</v>
      </c>
      <c r="B77" s="9" t="s">
        <v>415</v>
      </c>
      <c r="C77" s="9" t="s">
        <v>243</v>
      </c>
      <c r="D77" s="13">
        <v>4</v>
      </c>
      <c r="E77" s="11" t="s">
        <v>96</v>
      </c>
      <c r="F77" s="11" t="s">
        <v>244</v>
      </c>
      <c r="G77" s="11" t="s">
        <v>245</v>
      </c>
      <c r="H77" s="11" t="s">
        <v>246</v>
      </c>
      <c r="I77" s="11" t="s">
        <v>247</v>
      </c>
      <c r="J77" s="11" t="s">
        <v>248</v>
      </c>
      <c r="K77" s="11" t="s">
        <v>249</v>
      </c>
      <c r="L77" s="11" t="s">
        <v>250</v>
      </c>
      <c r="M77" s="11" t="s">
        <v>251</v>
      </c>
      <c r="N77" s="11" t="s">
        <v>252</v>
      </c>
      <c r="O77" s="11" t="s">
        <v>253</v>
      </c>
    </row>
    <row r="78" spans="1:15" ht="15" customHeight="1">
      <c r="A78" s="9" t="s">
        <v>407</v>
      </c>
      <c r="B78" s="9" t="s">
        <v>415</v>
      </c>
      <c r="C78" s="9" t="s">
        <v>254</v>
      </c>
      <c r="D78" s="13">
        <v>5</v>
      </c>
      <c r="E78" s="11" t="s">
        <v>96</v>
      </c>
      <c r="F78" s="11"/>
      <c r="G78" s="11" t="s">
        <v>255</v>
      </c>
      <c r="H78" s="11" t="s">
        <v>256</v>
      </c>
      <c r="I78" s="11" t="s">
        <v>257</v>
      </c>
      <c r="J78" s="11" t="s">
        <v>258</v>
      </c>
      <c r="K78" s="11" t="s">
        <v>259</v>
      </c>
      <c r="L78" s="11" t="s">
        <v>260</v>
      </c>
      <c r="M78" s="11" t="s">
        <v>261</v>
      </c>
      <c r="N78" s="11" t="s">
        <v>262</v>
      </c>
      <c r="O78" s="11" t="s">
        <v>263</v>
      </c>
    </row>
    <row r="79" spans="1:15" ht="15" customHeight="1">
      <c r="A79" s="9" t="s">
        <v>407</v>
      </c>
      <c r="B79" s="9" t="s">
        <v>415</v>
      </c>
      <c r="C79" s="9" t="s">
        <v>264</v>
      </c>
      <c r="D79" s="13">
        <v>4</v>
      </c>
      <c r="E79" s="11" t="s">
        <v>96</v>
      </c>
      <c r="F79" s="14" t="s">
        <v>151</v>
      </c>
      <c r="G79" s="14" t="s">
        <v>152</v>
      </c>
      <c r="H79" s="14" t="s">
        <v>153</v>
      </c>
      <c r="I79" s="11" t="s">
        <v>154</v>
      </c>
      <c r="J79" s="11" t="s">
        <v>155</v>
      </c>
      <c r="K79" s="11" t="s">
        <v>156</v>
      </c>
      <c r="L79" s="11" t="s">
        <v>157</v>
      </c>
      <c r="M79" s="11" t="s">
        <v>158</v>
      </c>
      <c r="N79" s="11" t="s">
        <v>159</v>
      </c>
      <c r="O79" s="11" t="s">
        <v>160</v>
      </c>
    </row>
    <row r="80" spans="1:15" ht="15" customHeight="1">
      <c r="A80" s="9" t="s">
        <v>409</v>
      </c>
      <c r="B80" s="1" t="s">
        <v>413</v>
      </c>
      <c r="C80" s="9" t="s">
        <v>12</v>
      </c>
      <c r="D80" s="10">
        <v>7</v>
      </c>
      <c r="E80" s="11" t="s">
        <v>30</v>
      </c>
      <c r="F80" s="11" t="s">
        <v>30</v>
      </c>
      <c r="G80" s="11" t="s">
        <v>161</v>
      </c>
      <c r="H80" s="11" t="s">
        <v>162</v>
      </c>
      <c r="I80" s="11" t="s">
        <v>163</v>
      </c>
      <c r="J80" s="12" t="s">
        <v>164</v>
      </c>
      <c r="K80" s="12" t="s">
        <v>165</v>
      </c>
      <c r="L80" s="12" t="s">
        <v>166</v>
      </c>
      <c r="M80" s="12" t="s">
        <v>26</v>
      </c>
      <c r="N80" s="12" t="s">
        <v>27</v>
      </c>
      <c r="O80" s="12" t="s">
        <v>28</v>
      </c>
    </row>
    <row r="81" spans="1:15" ht="15" customHeight="1">
      <c r="A81" s="9" t="s">
        <v>409</v>
      </c>
      <c r="B81" s="1" t="s">
        <v>413</v>
      </c>
      <c r="C81" s="9" t="s">
        <v>29</v>
      </c>
      <c r="D81" s="10">
        <v>11</v>
      </c>
      <c r="E81" s="11" t="s">
        <v>30</v>
      </c>
      <c r="F81" s="11"/>
      <c r="G81" s="11" t="s">
        <v>31</v>
      </c>
      <c r="H81" s="11" t="s">
        <v>32</v>
      </c>
      <c r="I81" s="11" t="s">
        <v>33</v>
      </c>
      <c r="J81" s="11" t="s">
        <v>34</v>
      </c>
      <c r="K81" s="11" t="s">
        <v>35</v>
      </c>
      <c r="L81" s="11" t="s">
        <v>36</v>
      </c>
      <c r="M81" s="11" t="s">
        <v>167</v>
      </c>
      <c r="N81" s="11" t="s">
        <v>168</v>
      </c>
      <c r="O81" s="11" t="s">
        <v>169</v>
      </c>
    </row>
    <row r="82" spans="1:15" ht="15" customHeight="1">
      <c r="A82" s="9" t="s">
        <v>409</v>
      </c>
      <c r="B82" s="1" t="s">
        <v>413</v>
      </c>
      <c r="C82" s="9" t="s">
        <v>170</v>
      </c>
      <c r="D82" s="10">
        <v>7</v>
      </c>
      <c r="E82" s="11" t="s">
        <v>30</v>
      </c>
      <c r="F82" s="11"/>
      <c r="G82" s="11" t="s">
        <v>171</v>
      </c>
      <c r="H82" s="11" t="s">
        <v>172</v>
      </c>
      <c r="I82" s="11" t="s">
        <v>173</v>
      </c>
      <c r="J82" s="11" t="s">
        <v>174</v>
      </c>
      <c r="K82" s="11" t="s">
        <v>175</v>
      </c>
      <c r="L82" s="11" t="s">
        <v>176</v>
      </c>
      <c r="M82" s="11" t="s">
        <v>177</v>
      </c>
      <c r="N82" s="11" t="s">
        <v>178</v>
      </c>
      <c r="O82" s="11" t="s">
        <v>179</v>
      </c>
    </row>
    <row r="83" spans="1:15" ht="15" customHeight="1">
      <c r="A83" s="9" t="s">
        <v>409</v>
      </c>
      <c r="B83" s="1" t="s">
        <v>413</v>
      </c>
      <c r="C83" s="9" t="s">
        <v>180</v>
      </c>
      <c r="D83" s="10">
        <v>12</v>
      </c>
      <c r="E83" s="11" t="s">
        <v>181</v>
      </c>
      <c r="F83" s="11" t="s">
        <v>182</v>
      </c>
      <c r="G83" s="11" t="s">
        <v>183</v>
      </c>
      <c r="H83" s="11" t="s">
        <v>184</v>
      </c>
      <c r="I83" s="11" t="s">
        <v>185</v>
      </c>
      <c r="J83" s="11" t="s">
        <v>186</v>
      </c>
      <c r="K83" s="11" t="s">
        <v>187</v>
      </c>
      <c r="L83" s="11" t="s">
        <v>188</v>
      </c>
      <c r="M83" s="11" t="s">
        <v>189</v>
      </c>
      <c r="N83" s="11" t="s">
        <v>190</v>
      </c>
      <c r="O83" s="11" t="s">
        <v>191</v>
      </c>
    </row>
    <row r="84" spans="1:15" ht="15" customHeight="1">
      <c r="A84" s="9" t="s">
        <v>409</v>
      </c>
      <c r="B84" s="1" t="s">
        <v>413</v>
      </c>
      <c r="C84" s="9" t="s">
        <v>192</v>
      </c>
      <c r="D84" s="10">
        <v>8</v>
      </c>
      <c r="E84" s="11" t="s">
        <v>181</v>
      </c>
      <c r="F84" s="11" t="s">
        <v>193</v>
      </c>
      <c r="G84" s="11" t="s">
        <v>193</v>
      </c>
      <c r="H84" s="11" t="s">
        <v>194</v>
      </c>
      <c r="I84" s="11" t="s">
        <v>195</v>
      </c>
      <c r="J84" s="11" t="s">
        <v>196</v>
      </c>
      <c r="K84" s="11" t="s">
        <v>197</v>
      </c>
      <c r="L84" s="11" t="s">
        <v>198</v>
      </c>
      <c r="M84" s="11" t="s">
        <v>199</v>
      </c>
      <c r="N84" s="11" t="s">
        <v>200</v>
      </c>
      <c r="O84" s="11" t="s">
        <v>201</v>
      </c>
    </row>
    <row r="85" spans="1:15" ht="15" customHeight="1">
      <c r="A85" s="9" t="s">
        <v>409</v>
      </c>
      <c r="B85" s="1" t="s">
        <v>413</v>
      </c>
      <c r="C85" s="9" t="s">
        <v>202</v>
      </c>
      <c r="D85" s="10">
        <v>14</v>
      </c>
      <c r="E85" s="11" t="s">
        <v>181</v>
      </c>
      <c r="F85" s="11" t="s">
        <v>203</v>
      </c>
      <c r="G85" s="11" t="s">
        <v>204</v>
      </c>
      <c r="H85" s="11" t="s">
        <v>205</v>
      </c>
      <c r="I85" s="11" t="s">
        <v>206</v>
      </c>
      <c r="J85" s="11" t="s">
        <v>207</v>
      </c>
      <c r="K85" s="11" t="s">
        <v>208</v>
      </c>
      <c r="L85" s="11" t="s">
        <v>209</v>
      </c>
      <c r="M85" s="11" t="s">
        <v>210</v>
      </c>
      <c r="N85" s="11" t="s">
        <v>211</v>
      </c>
      <c r="O85" s="11" t="s">
        <v>212</v>
      </c>
    </row>
    <row r="86" spans="1:15" ht="15" customHeight="1">
      <c r="A86" s="9" t="s">
        <v>409</v>
      </c>
      <c r="B86" s="1" t="s">
        <v>413</v>
      </c>
      <c r="C86" s="9" t="s">
        <v>213</v>
      </c>
      <c r="D86" s="10">
        <v>13</v>
      </c>
      <c r="E86" s="11" t="s">
        <v>181</v>
      </c>
      <c r="F86" s="11"/>
      <c r="G86" s="11" t="s">
        <v>214</v>
      </c>
      <c r="H86" s="11" t="s">
        <v>215</v>
      </c>
      <c r="I86" s="11" t="s">
        <v>88</v>
      </c>
      <c r="J86" s="11" t="s">
        <v>89</v>
      </c>
      <c r="K86" s="11" t="s">
        <v>90</v>
      </c>
      <c r="L86" s="11" t="s">
        <v>91</v>
      </c>
      <c r="M86" s="11" t="s">
        <v>92</v>
      </c>
      <c r="N86" s="11" t="s">
        <v>93</v>
      </c>
      <c r="O86" s="11" t="s">
        <v>94</v>
      </c>
    </row>
    <row r="87" spans="1:15" ht="15" customHeight="1">
      <c r="A87" s="9" t="s">
        <v>409</v>
      </c>
      <c r="B87" s="1" t="s">
        <v>413</v>
      </c>
      <c r="C87" s="9" t="s">
        <v>95</v>
      </c>
      <c r="D87" s="13">
        <v>4</v>
      </c>
      <c r="E87" s="11" t="s">
        <v>96</v>
      </c>
      <c r="F87" s="11" t="s">
        <v>97</v>
      </c>
      <c r="G87" s="11" t="s">
        <v>97</v>
      </c>
      <c r="H87" s="11" t="s">
        <v>98</v>
      </c>
      <c r="I87" s="11" t="s">
        <v>99</v>
      </c>
      <c r="J87" s="11" t="s">
        <v>216</v>
      </c>
      <c r="K87" s="11" t="s">
        <v>217</v>
      </c>
      <c r="L87" s="11" t="s">
        <v>218</v>
      </c>
      <c r="M87" s="11" t="s">
        <v>219</v>
      </c>
      <c r="N87" s="11" t="s">
        <v>220</v>
      </c>
      <c r="O87" s="11" t="s">
        <v>221</v>
      </c>
    </row>
    <row r="88" spans="1:15" ht="15" customHeight="1">
      <c r="A88" s="9" t="s">
        <v>409</v>
      </c>
      <c r="B88" s="1" t="s">
        <v>413</v>
      </c>
      <c r="C88" s="9" t="s">
        <v>222</v>
      </c>
      <c r="D88" s="13">
        <v>5.5</v>
      </c>
      <c r="E88" s="11" t="s">
        <v>96</v>
      </c>
      <c r="F88" s="11" t="s">
        <v>223</v>
      </c>
      <c r="G88" s="11" t="s">
        <v>224</v>
      </c>
      <c r="H88" s="11" t="s">
        <v>225</v>
      </c>
      <c r="I88" s="11" t="s">
        <v>226</v>
      </c>
      <c r="J88" s="11" t="s">
        <v>227</v>
      </c>
      <c r="K88" s="11" t="s">
        <v>228</v>
      </c>
      <c r="L88" s="11" t="s">
        <v>229</v>
      </c>
      <c r="M88" s="11" t="s">
        <v>230</v>
      </c>
      <c r="N88" s="11" t="s">
        <v>231</v>
      </c>
      <c r="O88" s="11" t="s">
        <v>232</v>
      </c>
    </row>
    <row r="89" spans="1:15" ht="15" customHeight="1">
      <c r="A89" s="9" t="s">
        <v>409</v>
      </c>
      <c r="B89" s="1" t="s">
        <v>413</v>
      </c>
      <c r="C89" s="9" t="s">
        <v>233</v>
      </c>
      <c r="D89" s="13">
        <v>5.5</v>
      </c>
      <c r="E89" s="11" t="s">
        <v>96</v>
      </c>
      <c r="F89" s="11"/>
      <c r="G89" s="11" t="s">
        <v>234</v>
      </c>
      <c r="H89" s="11" t="s">
        <v>235</v>
      </c>
      <c r="I89" s="11" t="s">
        <v>236</v>
      </c>
      <c r="J89" s="11" t="s">
        <v>237</v>
      </c>
      <c r="K89" s="11" t="s">
        <v>238</v>
      </c>
      <c r="L89" s="11" t="s">
        <v>239</v>
      </c>
      <c r="M89" s="11" t="s">
        <v>240</v>
      </c>
      <c r="N89" s="11" t="s">
        <v>241</v>
      </c>
      <c r="O89" s="11" t="s">
        <v>242</v>
      </c>
    </row>
    <row r="90" spans="1:15" ht="15" customHeight="1">
      <c r="A90" s="9" t="s">
        <v>409</v>
      </c>
      <c r="B90" s="1" t="s">
        <v>413</v>
      </c>
      <c r="C90" s="9" t="s">
        <v>243</v>
      </c>
      <c r="D90" s="13">
        <v>4</v>
      </c>
      <c r="E90" s="11" t="s">
        <v>96</v>
      </c>
      <c r="F90" s="11" t="s">
        <v>244</v>
      </c>
      <c r="G90" s="11" t="s">
        <v>245</v>
      </c>
      <c r="H90" s="11" t="s">
        <v>246</v>
      </c>
      <c r="I90" s="11" t="s">
        <v>247</v>
      </c>
      <c r="J90" s="11" t="s">
        <v>248</v>
      </c>
      <c r="K90" s="11" t="s">
        <v>249</v>
      </c>
      <c r="L90" s="11" t="s">
        <v>250</v>
      </c>
      <c r="M90" s="11" t="s">
        <v>251</v>
      </c>
      <c r="N90" s="11" t="s">
        <v>252</v>
      </c>
      <c r="O90" s="11" t="s">
        <v>253</v>
      </c>
    </row>
    <row r="91" spans="1:15" ht="15" customHeight="1">
      <c r="A91" s="9" t="s">
        <v>409</v>
      </c>
      <c r="B91" s="1" t="s">
        <v>413</v>
      </c>
      <c r="C91" s="9" t="s">
        <v>254</v>
      </c>
      <c r="D91" s="13">
        <v>5</v>
      </c>
      <c r="E91" s="11" t="s">
        <v>96</v>
      </c>
      <c r="F91" s="11"/>
      <c r="G91" s="11" t="s">
        <v>255</v>
      </c>
      <c r="H91" s="11" t="s">
        <v>256</v>
      </c>
      <c r="I91" s="11" t="s">
        <v>257</v>
      </c>
      <c r="J91" s="11" t="s">
        <v>258</v>
      </c>
      <c r="K91" s="11" t="s">
        <v>259</v>
      </c>
      <c r="L91" s="11" t="s">
        <v>260</v>
      </c>
      <c r="M91" s="11" t="s">
        <v>261</v>
      </c>
      <c r="N91" s="11" t="s">
        <v>262</v>
      </c>
      <c r="O91" s="11" t="s">
        <v>263</v>
      </c>
    </row>
    <row r="92" spans="1:15" ht="15" customHeight="1">
      <c r="A92" s="9" t="s">
        <v>409</v>
      </c>
      <c r="B92" s="1" t="s">
        <v>413</v>
      </c>
      <c r="C92" s="9" t="s">
        <v>264</v>
      </c>
      <c r="D92" s="13">
        <v>4</v>
      </c>
      <c r="E92" s="11" t="s">
        <v>96</v>
      </c>
      <c r="F92" s="14" t="s">
        <v>151</v>
      </c>
      <c r="G92" s="14" t="s">
        <v>152</v>
      </c>
      <c r="H92" s="14" t="s">
        <v>153</v>
      </c>
      <c r="I92" s="11" t="s">
        <v>154</v>
      </c>
      <c r="J92" s="11" t="s">
        <v>155</v>
      </c>
      <c r="K92" s="11" t="s">
        <v>156</v>
      </c>
      <c r="L92" s="11" t="s">
        <v>157</v>
      </c>
      <c r="M92" s="11" t="s">
        <v>158</v>
      </c>
      <c r="N92" s="11" t="s">
        <v>159</v>
      </c>
      <c r="O92" s="11" t="s">
        <v>160</v>
      </c>
    </row>
    <row r="93" spans="1:15" ht="15" customHeight="1">
      <c r="A93" s="9" t="s">
        <v>409</v>
      </c>
      <c r="B93" s="9" t="s">
        <v>414</v>
      </c>
      <c r="C93" s="9" t="s">
        <v>12</v>
      </c>
      <c r="D93" s="10">
        <v>7</v>
      </c>
      <c r="E93" s="11" t="s">
        <v>30</v>
      </c>
      <c r="F93" s="11" t="s">
        <v>30</v>
      </c>
      <c r="G93" s="11" t="s">
        <v>161</v>
      </c>
      <c r="H93" s="11" t="s">
        <v>162</v>
      </c>
      <c r="I93" s="11" t="s">
        <v>163</v>
      </c>
      <c r="J93" s="12" t="s">
        <v>164</v>
      </c>
      <c r="K93" s="12" t="s">
        <v>165</v>
      </c>
      <c r="L93" s="12" t="s">
        <v>166</v>
      </c>
      <c r="M93" s="12" t="s">
        <v>26</v>
      </c>
      <c r="N93" s="12" t="s">
        <v>27</v>
      </c>
      <c r="O93" s="12" t="s">
        <v>28</v>
      </c>
    </row>
    <row r="94" spans="1:15" ht="15" customHeight="1">
      <c r="A94" s="9" t="s">
        <v>409</v>
      </c>
      <c r="B94" s="9" t="s">
        <v>414</v>
      </c>
      <c r="C94" s="9" t="s">
        <v>29</v>
      </c>
      <c r="D94" s="10">
        <v>11</v>
      </c>
      <c r="E94" s="11" t="s">
        <v>30</v>
      </c>
      <c r="F94" s="11"/>
      <c r="G94" s="11" t="s">
        <v>31</v>
      </c>
      <c r="H94" s="11" t="s">
        <v>32</v>
      </c>
      <c r="I94" s="11" t="s">
        <v>33</v>
      </c>
      <c r="J94" s="11" t="s">
        <v>34</v>
      </c>
      <c r="K94" s="11" t="s">
        <v>35</v>
      </c>
      <c r="L94" s="11" t="s">
        <v>36</v>
      </c>
      <c r="M94" s="11" t="s">
        <v>167</v>
      </c>
      <c r="N94" s="11" t="s">
        <v>168</v>
      </c>
      <c r="O94" s="11" t="s">
        <v>169</v>
      </c>
    </row>
    <row r="95" spans="1:15" ht="15" customHeight="1">
      <c r="A95" s="9" t="s">
        <v>409</v>
      </c>
      <c r="B95" s="9" t="s">
        <v>414</v>
      </c>
      <c r="C95" s="9" t="s">
        <v>170</v>
      </c>
      <c r="D95" s="10">
        <v>7</v>
      </c>
      <c r="E95" s="11" t="s">
        <v>30</v>
      </c>
      <c r="F95" s="11"/>
      <c r="G95" s="11" t="s">
        <v>171</v>
      </c>
      <c r="H95" s="11" t="s">
        <v>172</v>
      </c>
      <c r="I95" s="11" t="s">
        <v>173</v>
      </c>
      <c r="J95" s="11" t="s">
        <v>174</v>
      </c>
      <c r="K95" s="11" t="s">
        <v>175</v>
      </c>
      <c r="L95" s="11" t="s">
        <v>176</v>
      </c>
      <c r="M95" s="11" t="s">
        <v>177</v>
      </c>
      <c r="N95" s="11" t="s">
        <v>178</v>
      </c>
      <c r="O95" s="11" t="s">
        <v>179</v>
      </c>
    </row>
    <row r="96" spans="1:15" ht="15" customHeight="1">
      <c r="A96" s="9" t="s">
        <v>409</v>
      </c>
      <c r="B96" s="9" t="s">
        <v>414</v>
      </c>
      <c r="C96" s="9" t="s">
        <v>180</v>
      </c>
      <c r="D96" s="10">
        <v>12</v>
      </c>
      <c r="E96" s="11" t="s">
        <v>181</v>
      </c>
      <c r="F96" s="11" t="s">
        <v>182</v>
      </c>
      <c r="G96" s="11" t="s">
        <v>183</v>
      </c>
      <c r="H96" s="11" t="s">
        <v>184</v>
      </c>
      <c r="I96" s="11" t="s">
        <v>185</v>
      </c>
      <c r="J96" s="11" t="s">
        <v>186</v>
      </c>
      <c r="K96" s="11" t="s">
        <v>187</v>
      </c>
      <c r="L96" s="11" t="s">
        <v>188</v>
      </c>
      <c r="M96" s="11" t="s">
        <v>189</v>
      </c>
      <c r="N96" s="11" t="s">
        <v>190</v>
      </c>
      <c r="O96" s="11" t="s">
        <v>191</v>
      </c>
    </row>
    <row r="97" spans="1:15" ht="15" customHeight="1">
      <c r="A97" s="9" t="s">
        <v>409</v>
      </c>
      <c r="B97" s="9" t="s">
        <v>414</v>
      </c>
      <c r="C97" s="9" t="s">
        <v>192</v>
      </c>
      <c r="D97" s="10">
        <v>8</v>
      </c>
      <c r="E97" s="11" t="s">
        <v>181</v>
      </c>
      <c r="F97" s="11" t="s">
        <v>193</v>
      </c>
      <c r="G97" s="11" t="s">
        <v>193</v>
      </c>
      <c r="H97" s="11" t="s">
        <v>194</v>
      </c>
      <c r="I97" s="11" t="s">
        <v>195</v>
      </c>
      <c r="J97" s="11" t="s">
        <v>196</v>
      </c>
      <c r="K97" s="11" t="s">
        <v>197</v>
      </c>
      <c r="L97" s="11" t="s">
        <v>198</v>
      </c>
      <c r="M97" s="11" t="s">
        <v>199</v>
      </c>
      <c r="N97" s="11" t="s">
        <v>200</v>
      </c>
      <c r="O97" s="11" t="s">
        <v>201</v>
      </c>
    </row>
    <row r="98" spans="1:15" ht="15" customHeight="1">
      <c r="A98" s="9" t="s">
        <v>409</v>
      </c>
      <c r="B98" s="9" t="s">
        <v>414</v>
      </c>
      <c r="C98" s="9" t="s">
        <v>202</v>
      </c>
      <c r="D98" s="10">
        <v>14</v>
      </c>
      <c r="E98" s="11" t="s">
        <v>181</v>
      </c>
      <c r="F98" s="11" t="s">
        <v>203</v>
      </c>
      <c r="G98" s="11" t="s">
        <v>204</v>
      </c>
      <c r="H98" s="11" t="s">
        <v>205</v>
      </c>
      <c r="I98" s="11" t="s">
        <v>206</v>
      </c>
      <c r="J98" s="11" t="s">
        <v>207</v>
      </c>
      <c r="K98" s="11" t="s">
        <v>208</v>
      </c>
      <c r="L98" s="11" t="s">
        <v>209</v>
      </c>
      <c r="M98" s="11" t="s">
        <v>210</v>
      </c>
      <c r="N98" s="11" t="s">
        <v>211</v>
      </c>
      <c r="O98" s="11" t="s">
        <v>212</v>
      </c>
    </row>
    <row r="99" spans="1:15" ht="15" customHeight="1">
      <c r="A99" s="9" t="s">
        <v>409</v>
      </c>
      <c r="B99" s="9" t="s">
        <v>414</v>
      </c>
      <c r="C99" s="9" t="s">
        <v>213</v>
      </c>
      <c r="D99" s="10">
        <v>13</v>
      </c>
      <c r="E99" s="11" t="s">
        <v>181</v>
      </c>
      <c r="F99" s="11"/>
      <c r="G99" s="11" t="s">
        <v>214</v>
      </c>
      <c r="H99" s="11" t="s">
        <v>215</v>
      </c>
      <c r="I99" s="11" t="s">
        <v>88</v>
      </c>
      <c r="J99" s="11" t="s">
        <v>89</v>
      </c>
      <c r="K99" s="11" t="s">
        <v>90</v>
      </c>
      <c r="L99" s="11" t="s">
        <v>91</v>
      </c>
      <c r="M99" s="11" t="s">
        <v>92</v>
      </c>
      <c r="N99" s="11" t="s">
        <v>93</v>
      </c>
      <c r="O99" s="11" t="s">
        <v>94</v>
      </c>
    </row>
    <row r="100" spans="1:15" ht="15" customHeight="1">
      <c r="A100" s="9" t="s">
        <v>409</v>
      </c>
      <c r="B100" s="9" t="s">
        <v>414</v>
      </c>
      <c r="C100" s="9" t="s">
        <v>95</v>
      </c>
      <c r="D100" s="13">
        <v>4</v>
      </c>
      <c r="E100" s="11" t="s">
        <v>96</v>
      </c>
      <c r="F100" s="11" t="s">
        <v>97</v>
      </c>
      <c r="G100" s="11" t="s">
        <v>97</v>
      </c>
      <c r="H100" s="11" t="s">
        <v>98</v>
      </c>
      <c r="I100" s="11" t="s">
        <v>99</v>
      </c>
      <c r="J100" s="11" t="s">
        <v>216</v>
      </c>
      <c r="K100" s="11" t="s">
        <v>217</v>
      </c>
      <c r="L100" s="11" t="s">
        <v>218</v>
      </c>
      <c r="M100" s="11" t="s">
        <v>219</v>
      </c>
      <c r="N100" s="11" t="s">
        <v>220</v>
      </c>
      <c r="O100" s="11" t="s">
        <v>221</v>
      </c>
    </row>
    <row r="101" spans="1:15" ht="15" customHeight="1">
      <c r="A101" s="9" t="s">
        <v>409</v>
      </c>
      <c r="B101" s="9" t="s">
        <v>414</v>
      </c>
      <c r="C101" s="9" t="s">
        <v>222</v>
      </c>
      <c r="D101" s="13">
        <v>5.5</v>
      </c>
      <c r="E101" s="11" t="s">
        <v>96</v>
      </c>
      <c r="F101" s="11" t="s">
        <v>223</v>
      </c>
      <c r="G101" s="11" t="s">
        <v>224</v>
      </c>
      <c r="H101" s="11" t="s">
        <v>225</v>
      </c>
      <c r="I101" s="11" t="s">
        <v>226</v>
      </c>
      <c r="J101" s="11" t="s">
        <v>227</v>
      </c>
      <c r="K101" s="11" t="s">
        <v>228</v>
      </c>
      <c r="L101" s="11" t="s">
        <v>229</v>
      </c>
      <c r="M101" s="11" t="s">
        <v>230</v>
      </c>
      <c r="N101" s="11" t="s">
        <v>231</v>
      </c>
      <c r="O101" s="11" t="s">
        <v>232</v>
      </c>
    </row>
    <row r="102" spans="1:15" ht="15" customHeight="1">
      <c r="A102" s="9" t="s">
        <v>409</v>
      </c>
      <c r="B102" s="9" t="s">
        <v>414</v>
      </c>
      <c r="C102" s="9" t="s">
        <v>233</v>
      </c>
      <c r="D102" s="13">
        <v>5.5</v>
      </c>
      <c r="E102" s="11" t="s">
        <v>96</v>
      </c>
      <c r="F102" s="11"/>
      <c r="G102" s="11" t="s">
        <v>234</v>
      </c>
      <c r="H102" s="11" t="s">
        <v>235</v>
      </c>
      <c r="I102" s="11" t="s">
        <v>236</v>
      </c>
      <c r="J102" s="11" t="s">
        <v>237</v>
      </c>
      <c r="K102" s="11" t="s">
        <v>238</v>
      </c>
      <c r="L102" s="11" t="s">
        <v>239</v>
      </c>
      <c r="M102" s="11" t="s">
        <v>240</v>
      </c>
      <c r="N102" s="11" t="s">
        <v>241</v>
      </c>
      <c r="O102" s="11" t="s">
        <v>242</v>
      </c>
    </row>
    <row r="103" spans="1:15" ht="15" customHeight="1">
      <c r="A103" s="9" t="s">
        <v>409</v>
      </c>
      <c r="B103" s="9" t="s">
        <v>414</v>
      </c>
      <c r="C103" s="9" t="s">
        <v>243</v>
      </c>
      <c r="D103" s="13">
        <v>4</v>
      </c>
      <c r="E103" s="11" t="s">
        <v>96</v>
      </c>
      <c r="F103" s="11" t="s">
        <v>244</v>
      </c>
      <c r="G103" s="11" t="s">
        <v>245</v>
      </c>
      <c r="H103" s="11" t="s">
        <v>246</v>
      </c>
      <c r="I103" s="11" t="s">
        <v>247</v>
      </c>
      <c r="J103" s="11" t="s">
        <v>248</v>
      </c>
      <c r="K103" s="11" t="s">
        <v>249</v>
      </c>
      <c r="L103" s="11" t="s">
        <v>250</v>
      </c>
      <c r="M103" s="11" t="s">
        <v>251</v>
      </c>
      <c r="N103" s="11" t="s">
        <v>252</v>
      </c>
      <c r="O103" s="11" t="s">
        <v>253</v>
      </c>
    </row>
    <row r="104" spans="1:15" ht="15" customHeight="1">
      <c r="A104" s="9" t="s">
        <v>409</v>
      </c>
      <c r="B104" s="9" t="s">
        <v>414</v>
      </c>
      <c r="C104" s="9" t="s">
        <v>254</v>
      </c>
      <c r="D104" s="13">
        <v>5</v>
      </c>
      <c r="E104" s="11" t="s">
        <v>96</v>
      </c>
      <c r="F104" s="11"/>
      <c r="G104" s="11" t="s">
        <v>255</v>
      </c>
      <c r="H104" s="11" t="s">
        <v>256</v>
      </c>
      <c r="I104" s="11" t="s">
        <v>257</v>
      </c>
      <c r="J104" s="11" t="s">
        <v>258</v>
      </c>
      <c r="K104" s="11" t="s">
        <v>259</v>
      </c>
      <c r="L104" s="11" t="s">
        <v>260</v>
      </c>
      <c r="M104" s="11" t="s">
        <v>261</v>
      </c>
      <c r="N104" s="11" t="s">
        <v>262</v>
      </c>
      <c r="O104" s="11" t="s">
        <v>263</v>
      </c>
    </row>
    <row r="105" spans="1:15" ht="15" customHeight="1">
      <c r="A105" s="9" t="s">
        <v>409</v>
      </c>
      <c r="B105" s="9" t="s">
        <v>414</v>
      </c>
      <c r="C105" s="9" t="s">
        <v>264</v>
      </c>
      <c r="D105" s="13">
        <v>4</v>
      </c>
      <c r="E105" s="11" t="s">
        <v>96</v>
      </c>
      <c r="F105" s="14" t="s">
        <v>151</v>
      </c>
      <c r="G105" s="14" t="s">
        <v>152</v>
      </c>
      <c r="H105" s="14" t="s">
        <v>153</v>
      </c>
      <c r="I105" s="11" t="s">
        <v>154</v>
      </c>
      <c r="J105" s="11" t="s">
        <v>155</v>
      </c>
      <c r="K105" s="11" t="s">
        <v>156</v>
      </c>
      <c r="L105" s="11" t="s">
        <v>157</v>
      </c>
      <c r="M105" s="11" t="s">
        <v>158</v>
      </c>
      <c r="N105" s="11" t="s">
        <v>159</v>
      </c>
      <c r="O105" s="11" t="s">
        <v>160</v>
      </c>
    </row>
    <row r="106" spans="1:15" ht="15" customHeight="1">
      <c r="A106" s="9" t="s">
        <v>409</v>
      </c>
      <c r="B106" s="9" t="s">
        <v>415</v>
      </c>
      <c r="C106" s="9" t="s">
        <v>12</v>
      </c>
      <c r="D106" s="10">
        <v>7</v>
      </c>
      <c r="E106" s="11" t="s">
        <v>30</v>
      </c>
      <c r="F106" s="11" t="s">
        <v>30</v>
      </c>
      <c r="G106" s="11" t="s">
        <v>161</v>
      </c>
      <c r="H106" s="11" t="s">
        <v>162</v>
      </c>
      <c r="I106" s="11" t="s">
        <v>163</v>
      </c>
      <c r="J106" s="12" t="s">
        <v>164</v>
      </c>
      <c r="K106" s="12" t="s">
        <v>165</v>
      </c>
      <c r="L106" s="12" t="s">
        <v>166</v>
      </c>
      <c r="M106" s="12" t="s">
        <v>26</v>
      </c>
      <c r="N106" s="12" t="s">
        <v>27</v>
      </c>
      <c r="O106" s="12" t="s">
        <v>28</v>
      </c>
    </row>
    <row r="107" spans="1:15" ht="15" customHeight="1">
      <c r="A107" s="9" t="s">
        <v>409</v>
      </c>
      <c r="B107" s="9" t="s">
        <v>415</v>
      </c>
      <c r="C107" s="9" t="s">
        <v>29</v>
      </c>
      <c r="D107" s="10">
        <v>11</v>
      </c>
      <c r="E107" s="11" t="s">
        <v>30</v>
      </c>
      <c r="F107" s="11"/>
      <c r="G107" s="11" t="s">
        <v>31</v>
      </c>
      <c r="H107" s="11" t="s">
        <v>32</v>
      </c>
      <c r="I107" s="11" t="s">
        <v>33</v>
      </c>
      <c r="J107" s="11" t="s">
        <v>34</v>
      </c>
      <c r="K107" s="11" t="s">
        <v>35</v>
      </c>
      <c r="L107" s="11" t="s">
        <v>36</v>
      </c>
      <c r="M107" s="11" t="s">
        <v>167</v>
      </c>
      <c r="N107" s="11" t="s">
        <v>168</v>
      </c>
      <c r="O107" s="11" t="s">
        <v>169</v>
      </c>
    </row>
    <row r="108" spans="1:15" ht="15" customHeight="1">
      <c r="A108" s="9" t="s">
        <v>409</v>
      </c>
      <c r="B108" s="9" t="s">
        <v>415</v>
      </c>
      <c r="C108" s="9" t="s">
        <v>170</v>
      </c>
      <c r="D108" s="10">
        <v>7</v>
      </c>
      <c r="E108" s="11" t="s">
        <v>30</v>
      </c>
      <c r="F108" s="11"/>
      <c r="G108" s="11" t="s">
        <v>171</v>
      </c>
      <c r="H108" s="11" t="s">
        <v>172</v>
      </c>
      <c r="I108" s="11" t="s">
        <v>173</v>
      </c>
      <c r="J108" s="11" t="s">
        <v>174</v>
      </c>
      <c r="K108" s="11" t="s">
        <v>175</v>
      </c>
      <c r="L108" s="11" t="s">
        <v>176</v>
      </c>
      <c r="M108" s="11" t="s">
        <v>177</v>
      </c>
      <c r="N108" s="11" t="s">
        <v>178</v>
      </c>
      <c r="O108" s="11" t="s">
        <v>179</v>
      </c>
    </row>
    <row r="109" spans="1:15" ht="15" customHeight="1">
      <c r="A109" s="9" t="s">
        <v>409</v>
      </c>
      <c r="B109" s="9" t="s">
        <v>415</v>
      </c>
      <c r="C109" s="9" t="s">
        <v>180</v>
      </c>
      <c r="D109" s="10">
        <v>12</v>
      </c>
      <c r="E109" s="11" t="s">
        <v>181</v>
      </c>
      <c r="F109" s="11" t="s">
        <v>182</v>
      </c>
      <c r="G109" s="11" t="s">
        <v>183</v>
      </c>
      <c r="H109" s="11" t="s">
        <v>184</v>
      </c>
      <c r="I109" s="11" t="s">
        <v>185</v>
      </c>
      <c r="J109" s="11" t="s">
        <v>186</v>
      </c>
      <c r="K109" s="11" t="s">
        <v>187</v>
      </c>
      <c r="L109" s="11" t="s">
        <v>188</v>
      </c>
      <c r="M109" s="11" t="s">
        <v>189</v>
      </c>
      <c r="N109" s="11" t="s">
        <v>190</v>
      </c>
      <c r="O109" s="11" t="s">
        <v>191</v>
      </c>
    </row>
    <row r="110" spans="1:15" ht="15" customHeight="1">
      <c r="A110" s="9" t="s">
        <v>409</v>
      </c>
      <c r="B110" s="9" t="s">
        <v>415</v>
      </c>
      <c r="C110" s="9" t="s">
        <v>192</v>
      </c>
      <c r="D110" s="10">
        <v>8</v>
      </c>
      <c r="E110" s="11" t="s">
        <v>181</v>
      </c>
      <c r="F110" s="11" t="s">
        <v>193</v>
      </c>
      <c r="G110" s="11" t="s">
        <v>193</v>
      </c>
      <c r="H110" s="11" t="s">
        <v>194</v>
      </c>
      <c r="I110" s="11" t="s">
        <v>195</v>
      </c>
      <c r="J110" s="11" t="s">
        <v>196</v>
      </c>
      <c r="K110" s="11" t="s">
        <v>197</v>
      </c>
      <c r="L110" s="11" t="s">
        <v>198</v>
      </c>
      <c r="M110" s="11" t="s">
        <v>199</v>
      </c>
      <c r="N110" s="11" t="s">
        <v>200</v>
      </c>
      <c r="O110" s="11" t="s">
        <v>201</v>
      </c>
    </row>
    <row r="111" spans="1:15" ht="15" customHeight="1">
      <c r="A111" s="9" t="s">
        <v>409</v>
      </c>
      <c r="B111" s="9" t="s">
        <v>415</v>
      </c>
      <c r="C111" s="9" t="s">
        <v>202</v>
      </c>
      <c r="D111" s="10">
        <v>14</v>
      </c>
      <c r="E111" s="11" t="s">
        <v>181</v>
      </c>
      <c r="F111" s="11" t="s">
        <v>203</v>
      </c>
      <c r="G111" s="11" t="s">
        <v>204</v>
      </c>
      <c r="H111" s="11" t="s">
        <v>205</v>
      </c>
      <c r="I111" s="11" t="s">
        <v>206</v>
      </c>
      <c r="J111" s="11" t="s">
        <v>207</v>
      </c>
      <c r="K111" s="11" t="s">
        <v>208</v>
      </c>
      <c r="L111" s="11" t="s">
        <v>209</v>
      </c>
      <c r="M111" s="11" t="s">
        <v>210</v>
      </c>
      <c r="N111" s="11" t="s">
        <v>211</v>
      </c>
      <c r="O111" s="11" t="s">
        <v>212</v>
      </c>
    </row>
    <row r="112" spans="1:15" ht="15" customHeight="1">
      <c r="A112" s="9" t="s">
        <v>409</v>
      </c>
      <c r="B112" s="9" t="s">
        <v>415</v>
      </c>
      <c r="C112" s="9" t="s">
        <v>213</v>
      </c>
      <c r="D112" s="10">
        <v>13</v>
      </c>
      <c r="E112" s="11" t="s">
        <v>181</v>
      </c>
      <c r="F112" s="11"/>
      <c r="G112" s="11" t="s">
        <v>214</v>
      </c>
      <c r="H112" s="11" t="s">
        <v>215</v>
      </c>
      <c r="I112" s="11" t="s">
        <v>88</v>
      </c>
      <c r="J112" s="11" t="s">
        <v>89</v>
      </c>
      <c r="K112" s="11" t="s">
        <v>90</v>
      </c>
      <c r="L112" s="11" t="s">
        <v>91</v>
      </c>
      <c r="M112" s="11" t="s">
        <v>92</v>
      </c>
      <c r="N112" s="11" t="s">
        <v>93</v>
      </c>
      <c r="O112" s="11" t="s">
        <v>94</v>
      </c>
    </row>
    <row r="113" spans="1:15" ht="15" customHeight="1">
      <c r="A113" s="9" t="s">
        <v>409</v>
      </c>
      <c r="B113" s="9" t="s">
        <v>415</v>
      </c>
      <c r="C113" s="9" t="s">
        <v>95</v>
      </c>
      <c r="D113" s="13">
        <v>4</v>
      </c>
      <c r="E113" s="11" t="s">
        <v>96</v>
      </c>
      <c r="F113" s="11" t="s">
        <v>97</v>
      </c>
      <c r="G113" s="11" t="s">
        <v>97</v>
      </c>
      <c r="H113" s="11" t="s">
        <v>98</v>
      </c>
      <c r="I113" s="11" t="s">
        <v>99</v>
      </c>
      <c r="J113" s="11" t="s">
        <v>216</v>
      </c>
      <c r="K113" s="11" t="s">
        <v>217</v>
      </c>
      <c r="L113" s="11" t="s">
        <v>218</v>
      </c>
      <c r="M113" s="11" t="s">
        <v>219</v>
      </c>
      <c r="N113" s="11" t="s">
        <v>220</v>
      </c>
      <c r="O113" s="11" t="s">
        <v>221</v>
      </c>
    </row>
    <row r="114" spans="1:15" ht="15" customHeight="1">
      <c r="A114" s="9" t="s">
        <v>409</v>
      </c>
      <c r="B114" s="9" t="s">
        <v>415</v>
      </c>
      <c r="C114" s="9" t="s">
        <v>222</v>
      </c>
      <c r="D114" s="13">
        <v>5.5</v>
      </c>
      <c r="E114" s="11" t="s">
        <v>96</v>
      </c>
      <c r="F114" s="11" t="s">
        <v>223</v>
      </c>
      <c r="G114" s="11" t="s">
        <v>224</v>
      </c>
      <c r="H114" s="11" t="s">
        <v>225</v>
      </c>
      <c r="I114" s="11" t="s">
        <v>226</v>
      </c>
      <c r="J114" s="11" t="s">
        <v>227</v>
      </c>
      <c r="K114" s="11" t="s">
        <v>228</v>
      </c>
      <c r="L114" s="11" t="s">
        <v>229</v>
      </c>
      <c r="M114" s="11" t="s">
        <v>230</v>
      </c>
      <c r="N114" s="11" t="s">
        <v>231</v>
      </c>
      <c r="O114" s="11" t="s">
        <v>232</v>
      </c>
    </row>
    <row r="115" spans="1:15" ht="15" customHeight="1">
      <c r="A115" s="9" t="s">
        <v>409</v>
      </c>
      <c r="B115" s="9" t="s">
        <v>415</v>
      </c>
      <c r="C115" s="9" t="s">
        <v>233</v>
      </c>
      <c r="D115" s="13">
        <v>5.5</v>
      </c>
      <c r="E115" s="11" t="s">
        <v>96</v>
      </c>
      <c r="F115" s="11"/>
      <c r="G115" s="11" t="s">
        <v>234</v>
      </c>
      <c r="H115" s="11" t="s">
        <v>235</v>
      </c>
      <c r="I115" s="11" t="s">
        <v>236</v>
      </c>
      <c r="J115" s="11" t="s">
        <v>237</v>
      </c>
      <c r="K115" s="11" t="s">
        <v>238</v>
      </c>
      <c r="L115" s="11" t="s">
        <v>239</v>
      </c>
      <c r="M115" s="11" t="s">
        <v>240</v>
      </c>
      <c r="N115" s="11" t="s">
        <v>241</v>
      </c>
      <c r="O115" s="11" t="s">
        <v>242</v>
      </c>
    </row>
    <row r="116" spans="1:15" ht="15" customHeight="1">
      <c r="A116" s="9" t="s">
        <v>409</v>
      </c>
      <c r="B116" s="9" t="s">
        <v>415</v>
      </c>
      <c r="C116" s="9" t="s">
        <v>243</v>
      </c>
      <c r="D116" s="13">
        <v>4</v>
      </c>
      <c r="E116" s="11" t="s">
        <v>96</v>
      </c>
      <c r="F116" s="11" t="s">
        <v>244</v>
      </c>
      <c r="G116" s="11" t="s">
        <v>245</v>
      </c>
      <c r="H116" s="11" t="s">
        <v>246</v>
      </c>
      <c r="I116" s="11" t="s">
        <v>247</v>
      </c>
      <c r="J116" s="11" t="s">
        <v>248</v>
      </c>
      <c r="K116" s="11" t="s">
        <v>249</v>
      </c>
      <c r="L116" s="11" t="s">
        <v>250</v>
      </c>
      <c r="M116" s="11" t="s">
        <v>251</v>
      </c>
      <c r="N116" s="11" t="s">
        <v>252</v>
      </c>
      <c r="O116" s="11" t="s">
        <v>253</v>
      </c>
    </row>
    <row r="117" spans="1:15" ht="15" customHeight="1">
      <c r="A117" s="9" t="s">
        <v>409</v>
      </c>
      <c r="B117" s="9" t="s">
        <v>415</v>
      </c>
      <c r="C117" s="9" t="s">
        <v>254</v>
      </c>
      <c r="D117" s="13">
        <v>5</v>
      </c>
      <c r="E117" s="11" t="s">
        <v>96</v>
      </c>
      <c r="F117" s="11"/>
      <c r="G117" s="11" t="s">
        <v>255</v>
      </c>
      <c r="H117" s="11" t="s">
        <v>256</v>
      </c>
      <c r="I117" s="11" t="s">
        <v>257</v>
      </c>
      <c r="J117" s="11" t="s">
        <v>258</v>
      </c>
      <c r="K117" s="11" t="s">
        <v>259</v>
      </c>
      <c r="L117" s="11" t="s">
        <v>260</v>
      </c>
      <c r="M117" s="11" t="s">
        <v>261</v>
      </c>
      <c r="N117" s="11" t="s">
        <v>262</v>
      </c>
      <c r="O117" s="11" t="s">
        <v>263</v>
      </c>
    </row>
    <row r="118" spans="1:15" ht="15" customHeight="1">
      <c r="A118" s="9" t="s">
        <v>409</v>
      </c>
      <c r="B118" s="9" t="s">
        <v>415</v>
      </c>
      <c r="C118" s="9" t="s">
        <v>264</v>
      </c>
      <c r="D118" s="13">
        <v>4</v>
      </c>
      <c r="E118" s="11" t="s">
        <v>96</v>
      </c>
      <c r="F118" s="14" t="s">
        <v>151</v>
      </c>
      <c r="G118" s="14" t="s">
        <v>152</v>
      </c>
      <c r="H118" s="14" t="s">
        <v>153</v>
      </c>
      <c r="I118" s="11" t="s">
        <v>154</v>
      </c>
      <c r="J118" s="11" t="s">
        <v>155</v>
      </c>
      <c r="K118" s="11" t="s">
        <v>156</v>
      </c>
      <c r="L118" s="11" t="s">
        <v>157</v>
      </c>
      <c r="M118" s="11" t="s">
        <v>158</v>
      </c>
      <c r="N118" s="11" t="s">
        <v>159</v>
      </c>
      <c r="O118" s="11" t="s">
        <v>160</v>
      </c>
    </row>
    <row r="119" spans="1:15" ht="15" customHeight="1">
      <c r="A119" s="9" t="s">
        <v>410</v>
      </c>
      <c r="B119" s="1" t="s">
        <v>413</v>
      </c>
      <c r="C119" s="9" t="s">
        <v>12</v>
      </c>
      <c r="D119" s="10">
        <v>7</v>
      </c>
      <c r="E119" s="11" t="s">
        <v>30</v>
      </c>
      <c r="F119" s="11" t="s">
        <v>30</v>
      </c>
      <c r="G119" s="11" t="s">
        <v>161</v>
      </c>
      <c r="H119" s="11" t="s">
        <v>162</v>
      </c>
      <c r="I119" s="11" t="s">
        <v>163</v>
      </c>
      <c r="J119" s="12" t="s">
        <v>164</v>
      </c>
      <c r="K119" s="12" t="s">
        <v>165</v>
      </c>
      <c r="L119" s="12" t="s">
        <v>166</v>
      </c>
      <c r="M119" s="12" t="s">
        <v>26</v>
      </c>
      <c r="N119" s="12" t="s">
        <v>27</v>
      </c>
      <c r="O119" s="12" t="s">
        <v>28</v>
      </c>
    </row>
    <row r="120" spans="1:15" ht="15" customHeight="1">
      <c r="A120" s="9" t="s">
        <v>410</v>
      </c>
      <c r="B120" s="1" t="s">
        <v>413</v>
      </c>
      <c r="C120" s="9" t="s">
        <v>29</v>
      </c>
      <c r="D120" s="10">
        <v>11</v>
      </c>
      <c r="E120" s="11" t="s">
        <v>30</v>
      </c>
      <c r="F120" s="11"/>
      <c r="G120" s="11" t="s">
        <v>31</v>
      </c>
      <c r="H120" s="11" t="s">
        <v>32</v>
      </c>
      <c r="I120" s="11" t="s">
        <v>33</v>
      </c>
      <c r="J120" s="11" t="s">
        <v>34</v>
      </c>
      <c r="K120" s="11" t="s">
        <v>35</v>
      </c>
      <c r="L120" s="11" t="s">
        <v>36</v>
      </c>
      <c r="M120" s="11" t="s">
        <v>167</v>
      </c>
      <c r="N120" s="11" t="s">
        <v>168</v>
      </c>
      <c r="O120" s="11" t="s">
        <v>169</v>
      </c>
    </row>
    <row r="121" spans="1:15" ht="15" customHeight="1">
      <c r="A121" s="9" t="s">
        <v>410</v>
      </c>
      <c r="B121" s="1" t="s">
        <v>413</v>
      </c>
      <c r="C121" s="9" t="s">
        <v>170</v>
      </c>
      <c r="D121" s="10">
        <v>7</v>
      </c>
      <c r="E121" s="11" t="s">
        <v>30</v>
      </c>
      <c r="F121" s="11"/>
      <c r="G121" s="11" t="s">
        <v>171</v>
      </c>
      <c r="H121" s="11" t="s">
        <v>172</v>
      </c>
      <c r="I121" s="11" t="s">
        <v>173</v>
      </c>
      <c r="J121" s="11" t="s">
        <v>174</v>
      </c>
      <c r="K121" s="11" t="s">
        <v>175</v>
      </c>
      <c r="L121" s="11" t="s">
        <v>176</v>
      </c>
      <c r="M121" s="11" t="s">
        <v>177</v>
      </c>
      <c r="N121" s="11" t="s">
        <v>178</v>
      </c>
      <c r="O121" s="11" t="s">
        <v>179</v>
      </c>
    </row>
    <row r="122" spans="1:15" ht="15" customHeight="1">
      <c r="A122" s="9" t="s">
        <v>410</v>
      </c>
      <c r="B122" s="1" t="s">
        <v>413</v>
      </c>
      <c r="C122" s="9" t="s">
        <v>180</v>
      </c>
      <c r="D122" s="10">
        <v>12</v>
      </c>
      <c r="E122" s="11" t="s">
        <v>181</v>
      </c>
      <c r="F122" s="11" t="s">
        <v>182</v>
      </c>
      <c r="G122" s="11" t="s">
        <v>183</v>
      </c>
      <c r="H122" s="11" t="s">
        <v>184</v>
      </c>
      <c r="I122" s="11" t="s">
        <v>185</v>
      </c>
      <c r="J122" s="11" t="s">
        <v>186</v>
      </c>
      <c r="K122" s="11" t="s">
        <v>187</v>
      </c>
      <c r="L122" s="11" t="s">
        <v>188</v>
      </c>
      <c r="M122" s="11" t="s">
        <v>189</v>
      </c>
      <c r="N122" s="11" t="s">
        <v>190</v>
      </c>
      <c r="O122" s="11" t="s">
        <v>191</v>
      </c>
    </row>
    <row r="123" spans="1:15" ht="15" customHeight="1">
      <c r="A123" s="9" t="s">
        <v>410</v>
      </c>
      <c r="B123" s="1" t="s">
        <v>413</v>
      </c>
      <c r="C123" s="9" t="s">
        <v>192</v>
      </c>
      <c r="D123" s="10">
        <v>8</v>
      </c>
      <c r="E123" s="11" t="s">
        <v>181</v>
      </c>
      <c r="F123" s="11" t="s">
        <v>193</v>
      </c>
      <c r="G123" s="11" t="s">
        <v>193</v>
      </c>
      <c r="H123" s="11" t="s">
        <v>194</v>
      </c>
      <c r="I123" s="11" t="s">
        <v>195</v>
      </c>
      <c r="J123" s="11" t="s">
        <v>196</v>
      </c>
      <c r="K123" s="11" t="s">
        <v>197</v>
      </c>
      <c r="L123" s="11" t="s">
        <v>198</v>
      </c>
      <c r="M123" s="11" t="s">
        <v>199</v>
      </c>
      <c r="N123" s="11" t="s">
        <v>200</v>
      </c>
      <c r="O123" s="11" t="s">
        <v>201</v>
      </c>
    </row>
    <row r="124" spans="1:15" ht="15" customHeight="1">
      <c r="A124" s="9" t="s">
        <v>410</v>
      </c>
      <c r="B124" s="1" t="s">
        <v>413</v>
      </c>
      <c r="C124" s="9" t="s">
        <v>202</v>
      </c>
      <c r="D124" s="10">
        <v>14</v>
      </c>
      <c r="E124" s="11" t="s">
        <v>181</v>
      </c>
      <c r="F124" s="11" t="s">
        <v>203</v>
      </c>
      <c r="G124" s="11" t="s">
        <v>204</v>
      </c>
      <c r="H124" s="11" t="s">
        <v>205</v>
      </c>
      <c r="I124" s="11" t="s">
        <v>206</v>
      </c>
      <c r="J124" s="11" t="s">
        <v>207</v>
      </c>
      <c r="K124" s="11" t="s">
        <v>208</v>
      </c>
      <c r="L124" s="11" t="s">
        <v>209</v>
      </c>
      <c r="M124" s="11" t="s">
        <v>210</v>
      </c>
      <c r="N124" s="11" t="s">
        <v>211</v>
      </c>
      <c r="O124" s="11" t="s">
        <v>212</v>
      </c>
    </row>
    <row r="125" spans="1:15" ht="15" customHeight="1">
      <c r="A125" s="9" t="s">
        <v>410</v>
      </c>
      <c r="B125" s="1" t="s">
        <v>413</v>
      </c>
      <c r="C125" s="9" t="s">
        <v>213</v>
      </c>
      <c r="D125" s="10">
        <v>13</v>
      </c>
      <c r="E125" s="11" t="s">
        <v>181</v>
      </c>
      <c r="F125" s="11"/>
      <c r="G125" s="11" t="s">
        <v>214</v>
      </c>
      <c r="H125" s="11" t="s">
        <v>215</v>
      </c>
      <c r="I125" s="11" t="s">
        <v>88</v>
      </c>
      <c r="J125" s="11" t="s">
        <v>89</v>
      </c>
      <c r="K125" s="11" t="s">
        <v>90</v>
      </c>
      <c r="L125" s="11" t="s">
        <v>91</v>
      </c>
      <c r="M125" s="11" t="s">
        <v>92</v>
      </c>
      <c r="N125" s="11" t="s">
        <v>93</v>
      </c>
      <c r="O125" s="11" t="s">
        <v>94</v>
      </c>
    </row>
    <row r="126" spans="1:15" ht="15" customHeight="1">
      <c r="A126" s="9" t="s">
        <v>410</v>
      </c>
      <c r="B126" s="1" t="s">
        <v>413</v>
      </c>
      <c r="C126" s="9" t="s">
        <v>95</v>
      </c>
      <c r="D126" s="13">
        <v>4</v>
      </c>
      <c r="E126" s="11" t="s">
        <v>96</v>
      </c>
      <c r="F126" s="11" t="s">
        <v>97</v>
      </c>
      <c r="G126" s="11" t="s">
        <v>97</v>
      </c>
      <c r="H126" s="11" t="s">
        <v>98</v>
      </c>
      <c r="I126" s="11" t="s">
        <v>99</v>
      </c>
      <c r="J126" s="11" t="s">
        <v>216</v>
      </c>
      <c r="K126" s="11" t="s">
        <v>217</v>
      </c>
      <c r="L126" s="11" t="s">
        <v>218</v>
      </c>
      <c r="M126" s="11" t="s">
        <v>219</v>
      </c>
      <c r="N126" s="11" t="s">
        <v>220</v>
      </c>
      <c r="O126" s="11" t="s">
        <v>221</v>
      </c>
    </row>
    <row r="127" spans="1:15" ht="15" customHeight="1">
      <c r="A127" s="9" t="s">
        <v>410</v>
      </c>
      <c r="B127" s="1" t="s">
        <v>413</v>
      </c>
      <c r="C127" s="9" t="s">
        <v>222</v>
      </c>
      <c r="D127" s="13">
        <v>5.5</v>
      </c>
      <c r="E127" s="11" t="s">
        <v>96</v>
      </c>
      <c r="F127" s="11" t="s">
        <v>223</v>
      </c>
      <c r="G127" s="11" t="s">
        <v>224</v>
      </c>
      <c r="H127" s="11" t="s">
        <v>225</v>
      </c>
      <c r="I127" s="11" t="s">
        <v>226</v>
      </c>
      <c r="J127" s="11" t="s">
        <v>227</v>
      </c>
      <c r="K127" s="11" t="s">
        <v>228</v>
      </c>
      <c r="L127" s="11" t="s">
        <v>229</v>
      </c>
      <c r="M127" s="11" t="s">
        <v>230</v>
      </c>
      <c r="N127" s="11" t="s">
        <v>231</v>
      </c>
      <c r="O127" s="11" t="s">
        <v>232</v>
      </c>
    </row>
    <row r="128" spans="1:15" ht="15" customHeight="1">
      <c r="A128" s="9" t="s">
        <v>410</v>
      </c>
      <c r="B128" s="1" t="s">
        <v>413</v>
      </c>
      <c r="C128" s="9" t="s">
        <v>233</v>
      </c>
      <c r="D128" s="13">
        <v>5.5</v>
      </c>
      <c r="E128" s="11" t="s">
        <v>96</v>
      </c>
      <c r="F128" s="11"/>
      <c r="G128" s="11" t="s">
        <v>234</v>
      </c>
      <c r="H128" s="11" t="s">
        <v>235</v>
      </c>
      <c r="I128" s="11" t="s">
        <v>236</v>
      </c>
      <c r="J128" s="11" t="s">
        <v>237</v>
      </c>
      <c r="K128" s="11" t="s">
        <v>238</v>
      </c>
      <c r="L128" s="11" t="s">
        <v>239</v>
      </c>
      <c r="M128" s="11" t="s">
        <v>240</v>
      </c>
      <c r="N128" s="11" t="s">
        <v>241</v>
      </c>
      <c r="O128" s="11" t="s">
        <v>242</v>
      </c>
    </row>
    <row r="129" spans="1:15" ht="15" customHeight="1">
      <c r="A129" s="9" t="s">
        <v>410</v>
      </c>
      <c r="B129" s="1" t="s">
        <v>413</v>
      </c>
      <c r="C129" s="9" t="s">
        <v>243</v>
      </c>
      <c r="D129" s="13">
        <v>4</v>
      </c>
      <c r="E129" s="11" t="s">
        <v>96</v>
      </c>
      <c r="F129" s="11" t="s">
        <v>244</v>
      </c>
      <c r="G129" s="11" t="s">
        <v>245</v>
      </c>
      <c r="H129" s="11" t="s">
        <v>246</v>
      </c>
      <c r="I129" s="11" t="s">
        <v>247</v>
      </c>
      <c r="J129" s="11" t="s">
        <v>248</v>
      </c>
      <c r="K129" s="11" t="s">
        <v>249</v>
      </c>
      <c r="L129" s="11" t="s">
        <v>250</v>
      </c>
      <c r="M129" s="11" t="s">
        <v>251</v>
      </c>
      <c r="N129" s="11" t="s">
        <v>252</v>
      </c>
      <c r="O129" s="11" t="s">
        <v>253</v>
      </c>
    </row>
    <row r="130" spans="1:15" ht="15" customHeight="1">
      <c r="A130" s="9" t="s">
        <v>410</v>
      </c>
      <c r="B130" s="1" t="s">
        <v>413</v>
      </c>
      <c r="C130" s="9" t="s">
        <v>254</v>
      </c>
      <c r="D130" s="13">
        <v>5</v>
      </c>
      <c r="E130" s="11" t="s">
        <v>96</v>
      </c>
      <c r="F130" s="11"/>
      <c r="G130" s="11" t="s">
        <v>255</v>
      </c>
      <c r="H130" s="11" t="s">
        <v>256</v>
      </c>
      <c r="I130" s="11" t="s">
        <v>257</v>
      </c>
      <c r="J130" s="11" t="s">
        <v>258</v>
      </c>
      <c r="K130" s="11" t="s">
        <v>259</v>
      </c>
      <c r="L130" s="11" t="s">
        <v>260</v>
      </c>
      <c r="M130" s="11" t="s">
        <v>261</v>
      </c>
      <c r="N130" s="11" t="s">
        <v>262</v>
      </c>
      <c r="O130" s="11" t="s">
        <v>263</v>
      </c>
    </row>
    <row r="131" spans="1:15" ht="15" customHeight="1">
      <c r="A131" s="9" t="s">
        <v>410</v>
      </c>
      <c r="B131" s="1" t="s">
        <v>413</v>
      </c>
      <c r="C131" s="9" t="s">
        <v>264</v>
      </c>
      <c r="D131" s="13">
        <v>4</v>
      </c>
      <c r="E131" s="11" t="s">
        <v>96</v>
      </c>
      <c r="F131" s="14" t="s">
        <v>151</v>
      </c>
      <c r="G131" s="14" t="s">
        <v>152</v>
      </c>
      <c r="H131" s="14" t="s">
        <v>153</v>
      </c>
      <c r="I131" s="11" t="s">
        <v>154</v>
      </c>
      <c r="J131" s="11" t="s">
        <v>155</v>
      </c>
      <c r="K131" s="11" t="s">
        <v>156</v>
      </c>
      <c r="L131" s="11" t="s">
        <v>157</v>
      </c>
      <c r="M131" s="11" t="s">
        <v>158</v>
      </c>
      <c r="N131" s="11" t="s">
        <v>159</v>
      </c>
      <c r="O131" s="11" t="s">
        <v>160</v>
      </c>
    </row>
    <row r="132" spans="1:15" ht="15" customHeight="1">
      <c r="A132" s="9" t="s">
        <v>410</v>
      </c>
      <c r="B132" s="9" t="s">
        <v>414</v>
      </c>
      <c r="C132" s="9" t="s">
        <v>12</v>
      </c>
      <c r="D132" s="10">
        <v>7</v>
      </c>
      <c r="E132" s="11" t="s">
        <v>30</v>
      </c>
      <c r="F132" s="11" t="s">
        <v>30</v>
      </c>
      <c r="G132" s="11" t="s">
        <v>161</v>
      </c>
      <c r="H132" s="11" t="s">
        <v>162</v>
      </c>
      <c r="I132" s="11" t="s">
        <v>163</v>
      </c>
      <c r="J132" s="12" t="s">
        <v>164</v>
      </c>
      <c r="K132" s="12" t="s">
        <v>165</v>
      </c>
      <c r="L132" s="12" t="s">
        <v>166</v>
      </c>
      <c r="M132" s="12" t="s">
        <v>26</v>
      </c>
      <c r="N132" s="12" t="s">
        <v>27</v>
      </c>
      <c r="O132" s="12" t="s">
        <v>28</v>
      </c>
    </row>
    <row r="133" spans="1:15" ht="15" customHeight="1">
      <c r="A133" s="9" t="s">
        <v>410</v>
      </c>
      <c r="B133" s="9" t="s">
        <v>414</v>
      </c>
      <c r="C133" s="9" t="s">
        <v>29</v>
      </c>
      <c r="D133" s="10">
        <v>11</v>
      </c>
      <c r="E133" s="11" t="s">
        <v>30</v>
      </c>
      <c r="F133" s="11"/>
      <c r="G133" s="11" t="s">
        <v>31</v>
      </c>
      <c r="H133" s="11" t="s">
        <v>32</v>
      </c>
      <c r="I133" s="11" t="s">
        <v>33</v>
      </c>
      <c r="J133" s="11" t="s">
        <v>34</v>
      </c>
      <c r="K133" s="11" t="s">
        <v>35</v>
      </c>
      <c r="L133" s="11" t="s">
        <v>36</v>
      </c>
      <c r="M133" s="11" t="s">
        <v>167</v>
      </c>
      <c r="N133" s="11" t="s">
        <v>168</v>
      </c>
      <c r="O133" s="11" t="s">
        <v>169</v>
      </c>
    </row>
    <row r="134" spans="1:15" ht="15" customHeight="1">
      <c r="A134" s="9" t="s">
        <v>410</v>
      </c>
      <c r="B134" s="9" t="s">
        <v>414</v>
      </c>
      <c r="C134" s="9" t="s">
        <v>170</v>
      </c>
      <c r="D134" s="10">
        <v>7</v>
      </c>
      <c r="E134" s="11" t="s">
        <v>30</v>
      </c>
      <c r="F134" s="11"/>
      <c r="G134" s="11" t="s">
        <v>171</v>
      </c>
      <c r="H134" s="11" t="s">
        <v>172</v>
      </c>
      <c r="I134" s="11" t="s">
        <v>173</v>
      </c>
      <c r="J134" s="11" t="s">
        <v>174</v>
      </c>
      <c r="K134" s="11" t="s">
        <v>175</v>
      </c>
      <c r="L134" s="11" t="s">
        <v>176</v>
      </c>
      <c r="M134" s="11" t="s">
        <v>177</v>
      </c>
      <c r="N134" s="11" t="s">
        <v>178</v>
      </c>
      <c r="O134" s="11" t="s">
        <v>179</v>
      </c>
    </row>
    <row r="135" spans="1:15" ht="15" customHeight="1">
      <c r="A135" s="9" t="s">
        <v>410</v>
      </c>
      <c r="B135" s="9" t="s">
        <v>414</v>
      </c>
      <c r="C135" s="9" t="s">
        <v>180</v>
      </c>
      <c r="D135" s="10">
        <v>12</v>
      </c>
      <c r="E135" s="11" t="s">
        <v>181</v>
      </c>
      <c r="F135" s="11" t="s">
        <v>182</v>
      </c>
      <c r="G135" s="11" t="s">
        <v>183</v>
      </c>
      <c r="H135" s="11" t="s">
        <v>184</v>
      </c>
      <c r="I135" s="11" t="s">
        <v>185</v>
      </c>
      <c r="J135" s="11" t="s">
        <v>186</v>
      </c>
      <c r="K135" s="11" t="s">
        <v>187</v>
      </c>
      <c r="L135" s="11" t="s">
        <v>188</v>
      </c>
      <c r="M135" s="11" t="s">
        <v>189</v>
      </c>
      <c r="N135" s="11" t="s">
        <v>190</v>
      </c>
      <c r="O135" s="11" t="s">
        <v>191</v>
      </c>
    </row>
    <row r="136" spans="1:15" ht="15" customHeight="1">
      <c r="A136" s="9" t="s">
        <v>410</v>
      </c>
      <c r="B136" s="9" t="s">
        <v>414</v>
      </c>
      <c r="C136" s="9" t="s">
        <v>192</v>
      </c>
      <c r="D136" s="10">
        <v>8</v>
      </c>
      <c r="E136" s="11" t="s">
        <v>181</v>
      </c>
      <c r="F136" s="11" t="s">
        <v>193</v>
      </c>
      <c r="G136" s="11" t="s">
        <v>193</v>
      </c>
      <c r="H136" s="11" t="s">
        <v>194</v>
      </c>
      <c r="I136" s="11" t="s">
        <v>195</v>
      </c>
      <c r="J136" s="11" t="s">
        <v>196</v>
      </c>
      <c r="K136" s="11" t="s">
        <v>197</v>
      </c>
      <c r="L136" s="11" t="s">
        <v>198</v>
      </c>
      <c r="M136" s="11" t="s">
        <v>199</v>
      </c>
      <c r="N136" s="11" t="s">
        <v>200</v>
      </c>
      <c r="O136" s="11" t="s">
        <v>201</v>
      </c>
    </row>
    <row r="137" spans="1:15" ht="15" customHeight="1">
      <c r="A137" s="9" t="s">
        <v>410</v>
      </c>
      <c r="B137" s="9" t="s">
        <v>414</v>
      </c>
      <c r="C137" s="9" t="s">
        <v>202</v>
      </c>
      <c r="D137" s="10">
        <v>14</v>
      </c>
      <c r="E137" s="11" t="s">
        <v>181</v>
      </c>
      <c r="F137" s="11" t="s">
        <v>203</v>
      </c>
      <c r="G137" s="11" t="s">
        <v>204</v>
      </c>
      <c r="H137" s="11" t="s">
        <v>205</v>
      </c>
      <c r="I137" s="11" t="s">
        <v>206</v>
      </c>
      <c r="J137" s="11" t="s">
        <v>207</v>
      </c>
      <c r="K137" s="11" t="s">
        <v>208</v>
      </c>
      <c r="L137" s="11" t="s">
        <v>209</v>
      </c>
      <c r="M137" s="11" t="s">
        <v>210</v>
      </c>
      <c r="N137" s="11" t="s">
        <v>211</v>
      </c>
      <c r="O137" s="11" t="s">
        <v>212</v>
      </c>
    </row>
    <row r="138" spans="1:15" ht="15" customHeight="1">
      <c r="A138" s="9" t="s">
        <v>410</v>
      </c>
      <c r="B138" s="9" t="s">
        <v>414</v>
      </c>
      <c r="C138" s="9" t="s">
        <v>213</v>
      </c>
      <c r="D138" s="10">
        <v>13</v>
      </c>
      <c r="E138" s="11" t="s">
        <v>181</v>
      </c>
      <c r="F138" s="11"/>
      <c r="G138" s="11" t="s">
        <v>214</v>
      </c>
      <c r="H138" s="11" t="s">
        <v>215</v>
      </c>
      <c r="I138" s="11" t="s">
        <v>88</v>
      </c>
      <c r="J138" s="11" t="s">
        <v>89</v>
      </c>
      <c r="K138" s="11" t="s">
        <v>90</v>
      </c>
      <c r="L138" s="11" t="s">
        <v>91</v>
      </c>
      <c r="M138" s="11" t="s">
        <v>92</v>
      </c>
      <c r="N138" s="11" t="s">
        <v>93</v>
      </c>
      <c r="O138" s="11" t="s">
        <v>94</v>
      </c>
    </row>
    <row r="139" spans="1:15" ht="15" customHeight="1">
      <c r="A139" s="9" t="s">
        <v>410</v>
      </c>
      <c r="B139" s="9" t="s">
        <v>414</v>
      </c>
      <c r="C139" s="9" t="s">
        <v>95</v>
      </c>
      <c r="D139" s="13">
        <v>4</v>
      </c>
      <c r="E139" s="11" t="s">
        <v>96</v>
      </c>
      <c r="F139" s="11" t="s">
        <v>97</v>
      </c>
      <c r="G139" s="11" t="s">
        <v>97</v>
      </c>
      <c r="H139" s="11" t="s">
        <v>98</v>
      </c>
      <c r="I139" s="11" t="s">
        <v>99</v>
      </c>
      <c r="J139" s="11" t="s">
        <v>216</v>
      </c>
      <c r="K139" s="11" t="s">
        <v>217</v>
      </c>
      <c r="L139" s="11" t="s">
        <v>218</v>
      </c>
      <c r="M139" s="11" t="s">
        <v>219</v>
      </c>
      <c r="N139" s="11" t="s">
        <v>220</v>
      </c>
      <c r="O139" s="11" t="s">
        <v>221</v>
      </c>
    </row>
    <row r="140" spans="1:15" ht="15" customHeight="1">
      <c r="A140" s="9" t="s">
        <v>410</v>
      </c>
      <c r="B140" s="9" t="s">
        <v>414</v>
      </c>
      <c r="C140" s="9" t="s">
        <v>222</v>
      </c>
      <c r="D140" s="13">
        <v>5.5</v>
      </c>
      <c r="E140" s="11" t="s">
        <v>96</v>
      </c>
      <c r="F140" s="11" t="s">
        <v>223</v>
      </c>
      <c r="G140" s="11" t="s">
        <v>224</v>
      </c>
      <c r="H140" s="11" t="s">
        <v>225</v>
      </c>
      <c r="I140" s="11" t="s">
        <v>226</v>
      </c>
      <c r="J140" s="11" t="s">
        <v>227</v>
      </c>
      <c r="K140" s="11" t="s">
        <v>228</v>
      </c>
      <c r="L140" s="11" t="s">
        <v>229</v>
      </c>
      <c r="M140" s="11" t="s">
        <v>230</v>
      </c>
      <c r="N140" s="11" t="s">
        <v>231</v>
      </c>
      <c r="O140" s="11" t="s">
        <v>232</v>
      </c>
    </row>
    <row r="141" spans="1:15" ht="15" customHeight="1">
      <c r="A141" s="9" t="s">
        <v>410</v>
      </c>
      <c r="B141" s="9" t="s">
        <v>414</v>
      </c>
      <c r="C141" s="9" t="s">
        <v>233</v>
      </c>
      <c r="D141" s="13">
        <v>5.5</v>
      </c>
      <c r="E141" s="11" t="s">
        <v>96</v>
      </c>
      <c r="F141" s="11"/>
      <c r="G141" s="11" t="s">
        <v>234</v>
      </c>
      <c r="H141" s="11" t="s">
        <v>235</v>
      </c>
      <c r="I141" s="11" t="s">
        <v>236</v>
      </c>
      <c r="J141" s="11" t="s">
        <v>237</v>
      </c>
      <c r="K141" s="11" t="s">
        <v>238</v>
      </c>
      <c r="L141" s="11" t="s">
        <v>239</v>
      </c>
      <c r="M141" s="11" t="s">
        <v>240</v>
      </c>
      <c r="N141" s="11" t="s">
        <v>241</v>
      </c>
      <c r="O141" s="11" t="s">
        <v>242</v>
      </c>
    </row>
    <row r="142" spans="1:15" ht="15" customHeight="1">
      <c r="A142" s="9" t="s">
        <v>410</v>
      </c>
      <c r="B142" s="9" t="s">
        <v>414</v>
      </c>
      <c r="C142" s="9" t="s">
        <v>243</v>
      </c>
      <c r="D142" s="13">
        <v>4</v>
      </c>
      <c r="E142" s="11" t="s">
        <v>96</v>
      </c>
      <c r="F142" s="11" t="s">
        <v>244</v>
      </c>
      <c r="G142" s="11" t="s">
        <v>245</v>
      </c>
      <c r="H142" s="11" t="s">
        <v>246</v>
      </c>
      <c r="I142" s="11" t="s">
        <v>247</v>
      </c>
      <c r="J142" s="11" t="s">
        <v>248</v>
      </c>
      <c r="K142" s="11" t="s">
        <v>249</v>
      </c>
      <c r="L142" s="11" t="s">
        <v>250</v>
      </c>
      <c r="M142" s="11" t="s">
        <v>251</v>
      </c>
      <c r="N142" s="11" t="s">
        <v>252</v>
      </c>
      <c r="O142" s="11" t="s">
        <v>253</v>
      </c>
    </row>
    <row r="143" spans="1:15" ht="15" customHeight="1">
      <c r="A143" s="9" t="s">
        <v>410</v>
      </c>
      <c r="B143" s="9" t="s">
        <v>414</v>
      </c>
      <c r="C143" s="9" t="s">
        <v>254</v>
      </c>
      <c r="D143" s="13">
        <v>5</v>
      </c>
      <c r="E143" s="11" t="s">
        <v>96</v>
      </c>
      <c r="F143" s="11"/>
      <c r="G143" s="11" t="s">
        <v>255</v>
      </c>
      <c r="H143" s="11" t="s">
        <v>256</v>
      </c>
      <c r="I143" s="11" t="s">
        <v>257</v>
      </c>
      <c r="J143" s="11" t="s">
        <v>258</v>
      </c>
      <c r="K143" s="11" t="s">
        <v>259</v>
      </c>
      <c r="L143" s="11" t="s">
        <v>260</v>
      </c>
      <c r="M143" s="11" t="s">
        <v>261</v>
      </c>
      <c r="N143" s="11" t="s">
        <v>262</v>
      </c>
      <c r="O143" s="11" t="s">
        <v>263</v>
      </c>
    </row>
    <row r="144" spans="1:15" ht="15" customHeight="1">
      <c r="A144" s="9" t="s">
        <v>410</v>
      </c>
      <c r="B144" s="9" t="s">
        <v>414</v>
      </c>
      <c r="C144" s="9" t="s">
        <v>264</v>
      </c>
      <c r="D144" s="13">
        <v>4</v>
      </c>
      <c r="E144" s="11" t="s">
        <v>96</v>
      </c>
      <c r="F144" s="14" t="s">
        <v>151</v>
      </c>
      <c r="G144" s="14" t="s">
        <v>152</v>
      </c>
      <c r="H144" s="14" t="s">
        <v>153</v>
      </c>
      <c r="I144" s="11" t="s">
        <v>154</v>
      </c>
      <c r="J144" s="11" t="s">
        <v>155</v>
      </c>
      <c r="K144" s="11" t="s">
        <v>156</v>
      </c>
      <c r="L144" s="11" t="s">
        <v>157</v>
      </c>
      <c r="M144" s="11" t="s">
        <v>158</v>
      </c>
      <c r="N144" s="11" t="s">
        <v>159</v>
      </c>
      <c r="O144" s="11" t="s">
        <v>160</v>
      </c>
    </row>
    <row r="145" spans="1:15" ht="15" customHeight="1">
      <c r="A145" s="9" t="s">
        <v>410</v>
      </c>
      <c r="B145" s="9" t="s">
        <v>415</v>
      </c>
      <c r="C145" s="9" t="s">
        <v>12</v>
      </c>
      <c r="D145" s="10">
        <v>7</v>
      </c>
      <c r="E145" s="11" t="s">
        <v>30</v>
      </c>
      <c r="F145" s="11" t="s">
        <v>30</v>
      </c>
      <c r="G145" s="11" t="s">
        <v>161</v>
      </c>
      <c r="H145" s="11" t="s">
        <v>162</v>
      </c>
      <c r="I145" s="11" t="s">
        <v>163</v>
      </c>
      <c r="J145" s="12" t="s">
        <v>164</v>
      </c>
      <c r="K145" s="12" t="s">
        <v>165</v>
      </c>
      <c r="L145" s="12" t="s">
        <v>166</v>
      </c>
      <c r="M145" s="12" t="s">
        <v>26</v>
      </c>
      <c r="N145" s="12" t="s">
        <v>27</v>
      </c>
      <c r="O145" s="12" t="s">
        <v>28</v>
      </c>
    </row>
    <row r="146" spans="1:15" ht="15" customHeight="1">
      <c r="A146" s="9" t="s">
        <v>410</v>
      </c>
      <c r="B146" s="9" t="s">
        <v>415</v>
      </c>
      <c r="C146" s="9" t="s">
        <v>29</v>
      </c>
      <c r="D146" s="10">
        <v>11</v>
      </c>
      <c r="E146" s="11" t="s">
        <v>30</v>
      </c>
      <c r="F146" s="11"/>
      <c r="G146" s="11" t="s">
        <v>31</v>
      </c>
      <c r="H146" s="11" t="s">
        <v>32</v>
      </c>
      <c r="I146" s="11" t="s">
        <v>33</v>
      </c>
      <c r="J146" s="11" t="s">
        <v>34</v>
      </c>
      <c r="K146" s="11" t="s">
        <v>35</v>
      </c>
      <c r="L146" s="11" t="s">
        <v>36</v>
      </c>
      <c r="M146" s="11" t="s">
        <v>167</v>
      </c>
      <c r="N146" s="11" t="s">
        <v>168</v>
      </c>
      <c r="O146" s="11" t="s">
        <v>169</v>
      </c>
    </row>
    <row r="147" spans="1:15" ht="15" customHeight="1">
      <c r="A147" s="9" t="s">
        <v>410</v>
      </c>
      <c r="B147" s="9" t="s">
        <v>415</v>
      </c>
      <c r="C147" s="9" t="s">
        <v>170</v>
      </c>
      <c r="D147" s="10">
        <v>7</v>
      </c>
      <c r="E147" s="11" t="s">
        <v>30</v>
      </c>
      <c r="F147" s="11"/>
      <c r="G147" s="11" t="s">
        <v>171</v>
      </c>
      <c r="H147" s="11" t="s">
        <v>172</v>
      </c>
      <c r="I147" s="11" t="s">
        <v>173</v>
      </c>
      <c r="J147" s="11" t="s">
        <v>174</v>
      </c>
      <c r="K147" s="11" t="s">
        <v>175</v>
      </c>
      <c r="L147" s="11" t="s">
        <v>176</v>
      </c>
      <c r="M147" s="11" t="s">
        <v>177</v>
      </c>
      <c r="N147" s="11" t="s">
        <v>178</v>
      </c>
      <c r="O147" s="11" t="s">
        <v>179</v>
      </c>
    </row>
    <row r="148" spans="1:15" ht="15" customHeight="1">
      <c r="A148" s="9" t="s">
        <v>410</v>
      </c>
      <c r="B148" s="9" t="s">
        <v>415</v>
      </c>
      <c r="C148" s="9" t="s">
        <v>180</v>
      </c>
      <c r="D148" s="10">
        <v>12</v>
      </c>
      <c r="E148" s="11" t="s">
        <v>181</v>
      </c>
      <c r="F148" s="11" t="s">
        <v>182</v>
      </c>
      <c r="G148" s="11" t="s">
        <v>183</v>
      </c>
      <c r="H148" s="11" t="s">
        <v>184</v>
      </c>
      <c r="I148" s="11" t="s">
        <v>185</v>
      </c>
      <c r="J148" s="11" t="s">
        <v>186</v>
      </c>
      <c r="K148" s="11" t="s">
        <v>187</v>
      </c>
      <c r="L148" s="11" t="s">
        <v>188</v>
      </c>
      <c r="M148" s="11" t="s">
        <v>189</v>
      </c>
      <c r="N148" s="11" t="s">
        <v>190</v>
      </c>
      <c r="O148" s="11" t="s">
        <v>191</v>
      </c>
    </row>
    <row r="149" spans="1:15" ht="15" customHeight="1">
      <c r="A149" s="9" t="s">
        <v>410</v>
      </c>
      <c r="B149" s="9" t="s">
        <v>415</v>
      </c>
      <c r="C149" s="9" t="s">
        <v>192</v>
      </c>
      <c r="D149" s="10">
        <v>8</v>
      </c>
      <c r="E149" s="11" t="s">
        <v>181</v>
      </c>
      <c r="F149" s="11" t="s">
        <v>193</v>
      </c>
      <c r="G149" s="11" t="s">
        <v>193</v>
      </c>
      <c r="H149" s="11" t="s">
        <v>194</v>
      </c>
      <c r="I149" s="11" t="s">
        <v>195</v>
      </c>
      <c r="J149" s="11" t="s">
        <v>196</v>
      </c>
      <c r="K149" s="11" t="s">
        <v>197</v>
      </c>
      <c r="L149" s="11" t="s">
        <v>198</v>
      </c>
      <c r="M149" s="11" t="s">
        <v>199</v>
      </c>
      <c r="N149" s="11" t="s">
        <v>200</v>
      </c>
      <c r="O149" s="11" t="s">
        <v>201</v>
      </c>
    </row>
    <row r="150" spans="1:15" ht="15" customHeight="1">
      <c r="A150" s="9" t="s">
        <v>410</v>
      </c>
      <c r="B150" s="9" t="s">
        <v>415</v>
      </c>
      <c r="C150" s="9" t="s">
        <v>202</v>
      </c>
      <c r="D150" s="10">
        <v>14</v>
      </c>
      <c r="E150" s="11" t="s">
        <v>181</v>
      </c>
      <c r="F150" s="11" t="s">
        <v>203</v>
      </c>
      <c r="G150" s="11" t="s">
        <v>204</v>
      </c>
      <c r="H150" s="11" t="s">
        <v>205</v>
      </c>
      <c r="I150" s="11" t="s">
        <v>206</v>
      </c>
      <c r="J150" s="11" t="s">
        <v>207</v>
      </c>
      <c r="K150" s="11" t="s">
        <v>208</v>
      </c>
      <c r="L150" s="11" t="s">
        <v>209</v>
      </c>
      <c r="M150" s="11" t="s">
        <v>210</v>
      </c>
      <c r="N150" s="11" t="s">
        <v>211</v>
      </c>
      <c r="O150" s="11" t="s">
        <v>212</v>
      </c>
    </row>
    <row r="151" spans="1:15" ht="15" customHeight="1">
      <c r="A151" s="9" t="s">
        <v>410</v>
      </c>
      <c r="B151" s="9" t="s">
        <v>415</v>
      </c>
      <c r="C151" s="9" t="s">
        <v>213</v>
      </c>
      <c r="D151" s="10">
        <v>13</v>
      </c>
      <c r="E151" s="11" t="s">
        <v>181</v>
      </c>
      <c r="F151" s="11"/>
      <c r="G151" s="11" t="s">
        <v>214</v>
      </c>
      <c r="H151" s="11" t="s">
        <v>215</v>
      </c>
      <c r="I151" s="11" t="s">
        <v>88</v>
      </c>
      <c r="J151" s="11" t="s">
        <v>89</v>
      </c>
      <c r="K151" s="11" t="s">
        <v>90</v>
      </c>
      <c r="L151" s="11" t="s">
        <v>91</v>
      </c>
      <c r="M151" s="11" t="s">
        <v>92</v>
      </c>
      <c r="N151" s="11" t="s">
        <v>93</v>
      </c>
      <c r="O151" s="11" t="s">
        <v>94</v>
      </c>
    </row>
    <row r="152" spans="1:15" ht="15" customHeight="1">
      <c r="A152" s="9" t="s">
        <v>410</v>
      </c>
      <c r="B152" s="9" t="s">
        <v>415</v>
      </c>
      <c r="C152" s="9" t="s">
        <v>95</v>
      </c>
      <c r="D152" s="13">
        <v>4</v>
      </c>
      <c r="E152" s="11" t="s">
        <v>96</v>
      </c>
      <c r="F152" s="11" t="s">
        <v>97</v>
      </c>
      <c r="G152" s="11" t="s">
        <v>97</v>
      </c>
      <c r="H152" s="11" t="s">
        <v>98</v>
      </c>
      <c r="I152" s="11" t="s">
        <v>99</v>
      </c>
      <c r="J152" s="11" t="s">
        <v>216</v>
      </c>
      <c r="K152" s="11" t="s">
        <v>217</v>
      </c>
      <c r="L152" s="11" t="s">
        <v>218</v>
      </c>
      <c r="M152" s="11" t="s">
        <v>219</v>
      </c>
      <c r="N152" s="11" t="s">
        <v>220</v>
      </c>
      <c r="O152" s="11" t="s">
        <v>221</v>
      </c>
    </row>
    <row r="153" spans="1:15" ht="15" customHeight="1">
      <c r="A153" s="9" t="s">
        <v>410</v>
      </c>
      <c r="B153" s="9" t="s">
        <v>415</v>
      </c>
      <c r="C153" s="9" t="s">
        <v>222</v>
      </c>
      <c r="D153" s="13">
        <v>5.5</v>
      </c>
      <c r="E153" s="11" t="s">
        <v>96</v>
      </c>
      <c r="F153" s="11" t="s">
        <v>223</v>
      </c>
      <c r="G153" s="11" t="s">
        <v>224</v>
      </c>
      <c r="H153" s="11" t="s">
        <v>225</v>
      </c>
      <c r="I153" s="11" t="s">
        <v>226</v>
      </c>
      <c r="J153" s="11" t="s">
        <v>227</v>
      </c>
      <c r="K153" s="11" t="s">
        <v>228</v>
      </c>
      <c r="L153" s="11" t="s">
        <v>229</v>
      </c>
      <c r="M153" s="11" t="s">
        <v>230</v>
      </c>
      <c r="N153" s="11" t="s">
        <v>231</v>
      </c>
      <c r="O153" s="11" t="s">
        <v>232</v>
      </c>
    </row>
    <row r="154" spans="1:15" ht="15" customHeight="1">
      <c r="A154" s="9" t="s">
        <v>410</v>
      </c>
      <c r="B154" s="9" t="s">
        <v>415</v>
      </c>
      <c r="C154" s="9" t="s">
        <v>233</v>
      </c>
      <c r="D154" s="13">
        <v>5.5</v>
      </c>
      <c r="E154" s="11" t="s">
        <v>96</v>
      </c>
      <c r="F154" s="11"/>
      <c r="G154" s="11" t="s">
        <v>234</v>
      </c>
      <c r="H154" s="11" t="s">
        <v>235</v>
      </c>
      <c r="I154" s="11" t="s">
        <v>236</v>
      </c>
      <c r="J154" s="11" t="s">
        <v>237</v>
      </c>
      <c r="K154" s="11" t="s">
        <v>238</v>
      </c>
      <c r="L154" s="11" t="s">
        <v>239</v>
      </c>
      <c r="M154" s="11" t="s">
        <v>240</v>
      </c>
      <c r="N154" s="11" t="s">
        <v>241</v>
      </c>
      <c r="O154" s="11" t="s">
        <v>242</v>
      </c>
    </row>
    <row r="155" spans="1:15" ht="15" customHeight="1">
      <c r="A155" s="9" t="s">
        <v>410</v>
      </c>
      <c r="B155" s="9" t="s">
        <v>415</v>
      </c>
      <c r="C155" s="9" t="s">
        <v>243</v>
      </c>
      <c r="D155" s="13">
        <v>4</v>
      </c>
      <c r="E155" s="11" t="s">
        <v>96</v>
      </c>
      <c r="F155" s="11" t="s">
        <v>244</v>
      </c>
      <c r="G155" s="11" t="s">
        <v>245</v>
      </c>
      <c r="H155" s="11" t="s">
        <v>246</v>
      </c>
      <c r="I155" s="11" t="s">
        <v>247</v>
      </c>
      <c r="J155" s="11" t="s">
        <v>248</v>
      </c>
      <c r="K155" s="11" t="s">
        <v>249</v>
      </c>
      <c r="L155" s="11" t="s">
        <v>250</v>
      </c>
      <c r="M155" s="11" t="s">
        <v>251</v>
      </c>
      <c r="N155" s="11" t="s">
        <v>252</v>
      </c>
      <c r="O155" s="11" t="s">
        <v>253</v>
      </c>
    </row>
    <row r="156" spans="1:15" ht="15" customHeight="1">
      <c r="A156" s="9" t="s">
        <v>410</v>
      </c>
      <c r="B156" s="9" t="s">
        <v>415</v>
      </c>
      <c r="C156" s="9" t="s">
        <v>254</v>
      </c>
      <c r="D156" s="13">
        <v>5</v>
      </c>
      <c r="E156" s="11" t="s">
        <v>96</v>
      </c>
      <c r="F156" s="11"/>
      <c r="G156" s="11" t="s">
        <v>255</v>
      </c>
      <c r="H156" s="11" t="s">
        <v>256</v>
      </c>
      <c r="I156" s="11" t="s">
        <v>257</v>
      </c>
      <c r="J156" s="11" t="s">
        <v>258</v>
      </c>
      <c r="K156" s="11" t="s">
        <v>259</v>
      </c>
      <c r="L156" s="11" t="s">
        <v>260</v>
      </c>
      <c r="M156" s="11" t="s">
        <v>261</v>
      </c>
      <c r="N156" s="11" t="s">
        <v>262</v>
      </c>
      <c r="O156" s="11" t="s">
        <v>263</v>
      </c>
    </row>
    <row r="157" spans="1:15" ht="15" customHeight="1">
      <c r="A157" s="9" t="s">
        <v>410</v>
      </c>
      <c r="B157" s="9" t="s">
        <v>415</v>
      </c>
      <c r="C157" s="9" t="s">
        <v>264</v>
      </c>
      <c r="D157" s="13">
        <v>4</v>
      </c>
      <c r="E157" s="11" t="s">
        <v>96</v>
      </c>
      <c r="F157" s="14" t="s">
        <v>151</v>
      </c>
      <c r="G157" s="14" t="s">
        <v>152</v>
      </c>
      <c r="H157" s="14" t="s">
        <v>153</v>
      </c>
      <c r="I157" s="11" t="s">
        <v>154</v>
      </c>
      <c r="J157" s="11" t="s">
        <v>155</v>
      </c>
      <c r="K157" s="11" t="s">
        <v>156</v>
      </c>
      <c r="L157" s="11" t="s">
        <v>157</v>
      </c>
      <c r="M157" s="11" t="s">
        <v>158</v>
      </c>
      <c r="N157" s="11" t="s">
        <v>159</v>
      </c>
      <c r="O157" s="11" t="s">
        <v>160</v>
      </c>
    </row>
  </sheetData>
  <sheetProtection selectLockedCells="1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09"/>
  <dimension ref="A1:X67"/>
  <sheetViews>
    <sheetView showGridLines="0" tabSelected="1" zoomScale="90" zoomScaleNormal="90" workbookViewId="0">
      <selection activeCell="K55" sqref="K55"/>
    </sheetView>
  </sheetViews>
  <sheetFormatPr defaultColWidth="0" defaultRowHeight="13.5"/>
  <cols>
    <col min="1" max="2" width="8" customWidth="1"/>
    <col min="3" max="3" width="9.77734375" customWidth="1"/>
    <col min="4" max="4" width="11.5546875" customWidth="1"/>
    <col min="5" max="5" width="9.5546875" customWidth="1"/>
    <col min="6" max="6" width="9.88671875" customWidth="1"/>
    <col min="7" max="7" width="18.77734375" customWidth="1"/>
    <col min="8" max="15" width="1" customWidth="1"/>
    <col min="16" max="17" width="8.88671875" customWidth="1"/>
    <col min="18" max="19" width="11.77734375" customWidth="1"/>
    <col min="20" max="20" width="12.44140625" customWidth="1"/>
    <col min="21" max="21" width="67.21875" customWidth="1"/>
    <col min="22" max="22" width="15.21875" hidden="1" customWidth="1"/>
    <col min="23" max="23" width="13.44140625" hidden="1" customWidth="1"/>
    <col min="24" max="253" width="8.88671875" customWidth="1"/>
  </cols>
  <sheetData>
    <row r="1" spans="1:23" ht="14.25" customHeight="1">
      <c r="A1" s="2" t="s">
        <v>408</v>
      </c>
      <c r="B1" s="2" t="s">
        <v>411</v>
      </c>
      <c r="C1" s="3" t="s">
        <v>15</v>
      </c>
      <c r="D1" s="3" t="s">
        <v>14</v>
      </c>
      <c r="E1" s="3" t="s">
        <v>1</v>
      </c>
      <c r="F1" s="3" t="s">
        <v>2</v>
      </c>
      <c r="G1" s="3" t="s">
        <v>3</v>
      </c>
      <c r="H1" s="3" t="s">
        <v>4</v>
      </c>
      <c r="I1" s="4" t="s">
        <v>5</v>
      </c>
      <c r="J1" s="4" t="s">
        <v>6</v>
      </c>
      <c r="K1" s="4" t="s">
        <v>7</v>
      </c>
      <c r="L1" s="4" t="s">
        <v>8</v>
      </c>
      <c r="M1" s="4" t="s">
        <v>9</v>
      </c>
      <c r="N1" s="4" t="s">
        <v>10</v>
      </c>
      <c r="O1" s="4" t="s">
        <v>11</v>
      </c>
      <c r="P1" s="18" t="s">
        <v>17</v>
      </c>
      <c r="Q1" s="23" t="s">
        <v>16</v>
      </c>
      <c r="R1" s="23" t="s">
        <v>18</v>
      </c>
      <c r="S1" s="27"/>
      <c r="T1" s="36" t="s">
        <v>418</v>
      </c>
      <c r="U1" s="36"/>
      <c r="V1" s="36"/>
      <c r="W1" s="36"/>
    </row>
    <row r="2" spans="1:23" ht="14.25" customHeight="1">
      <c r="A2" s="27" t="s">
        <v>407</v>
      </c>
      <c r="B2" s="27" t="s">
        <v>413</v>
      </c>
      <c r="C2" s="27" t="s">
        <v>12</v>
      </c>
      <c r="D2" s="27">
        <v>7</v>
      </c>
      <c r="E2" s="27" t="s">
        <v>283</v>
      </c>
      <c r="F2" s="27" t="s">
        <v>283</v>
      </c>
      <c r="G2" s="27" t="s">
        <v>284</v>
      </c>
      <c r="H2" s="28" t="s">
        <v>285</v>
      </c>
      <c r="I2" s="28" t="s">
        <v>286</v>
      </c>
      <c r="J2" s="28" t="s">
        <v>287</v>
      </c>
      <c r="K2" s="28" t="s">
        <v>288</v>
      </c>
      <c r="L2" s="28" t="s">
        <v>289</v>
      </c>
      <c r="M2" s="28" t="s">
        <v>290</v>
      </c>
      <c r="N2" s="28" t="s">
        <v>291</v>
      </c>
      <c r="O2" s="28" t="s">
        <v>13</v>
      </c>
      <c r="P2" s="30" t="s">
        <v>0</v>
      </c>
      <c r="Q2" s="28">
        <f t="shared" ref="Q2:Q14" si="0">IF(P2="A", 1, IF(P2="B", 0.8, IF(P2="C", 0.6, IF(P2="D", 0.4, IF(P2="E", 0.2, 0)))))</f>
        <v>1</v>
      </c>
      <c r="R2" s="27">
        <f t="shared" ref="R2:R14" si="1">IFERROR(D2*Q2,0)</f>
        <v>7</v>
      </c>
      <c r="S2" s="27"/>
      <c r="T2" s="37" t="s">
        <v>419</v>
      </c>
      <c r="U2" s="38"/>
      <c r="V2" s="38"/>
      <c r="W2" s="38"/>
    </row>
    <row r="3" spans="1:23" ht="14.25" customHeight="1">
      <c r="A3" s="27" t="s">
        <v>407</v>
      </c>
      <c r="B3" s="27" t="s">
        <v>413</v>
      </c>
      <c r="C3" s="27" t="s">
        <v>292</v>
      </c>
      <c r="D3" s="27">
        <v>11</v>
      </c>
      <c r="E3" s="27" t="s">
        <v>283</v>
      </c>
      <c r="F3" s="27"/>
      <c r="G3" s="27" t="s">
        <v>293</v>
      </c>
      <c r="H3" s="28" t="s">
        <v>294</v>
      </c>
      <c r="I3" s="28" t="s">
        <v>295</v>
      </c>
      <c r="J3" s="28" t="s">
        <v>296</v>
      </c>
      <c r="K3" s="28" t="s">
        <v>297</v>
      </c>
      <c r="L3" s="28" t="s">
        <v>298</v>
      </c>
      <c r="M3" s="28" t="s">
        <v>299</v>
      </c>
      <c r="N3" s="28" t="s">
        <v>265</v>
      </c>
      <c r="O3" s="28" t="s">
        <v>266</v>
      </c>
      <c r="P3" s="30" t="s">
        <v>0</v>
      </c>
      <c r="Q3" s="28">
        <f t="shared" si="0"/>
        <v>1</v>
      </c>
      <c r="R3" s="27">
        <f t="shared" si="1"/>
        <v>11</v>
      </c>
      <c r="S3" s="27"/>
      <c r="T3" s="39"/>
      <c r="U3" s="40"/>
      <c r="V3" s="40"/>
      <c r="W3" s="40"/>
    </row>
    <row r="4" spans="1:23" ht="14.25" customHeight="1">
      <c r="A4" s="27" t="s">
        <v>407</v>
      </c>
      <c r="B4" s="27" t="s">
        <v>413</v>
      </c>
      <c r="C4" s="27" t="s">
        <v>300</v>
      </c>
      <c r="D4" s="27">
        <v>7</v>
      </c>
      <c r="E4" s="27" t="s">
        <v>283</v>
      </c>
      <c r="F4" s="27"/>
      <c r="G4" s="27" t="s">
        <v>301</v>
      </c>
      <c r="H4" s="28" t="s">
        <v>302</v>
      </c>
      <c r="I4" s="28" t="s">
        <v>303</v>
      </c>
      <c r="J4" s="28" t="s">
        <v>304</v>
      </c>
      <c r="K4" s="28" t="s">
        <v>305</v>
      </c>
      <c r="L4" s="28" t="s">
        <v>306</v>
      </c>
      <c r="M4" s="28" t="s">
        <v>307</v>
      </c>
      <c r="N4" s="28" t="s">
        <v>308</v>
      </c>
      <c r="O4" s="28" t="s">
        <v>267</v>
      </c>
      <c r="P4" s="30" t="s">
        <v>416</v>
      </c>
      <c r="Q4" s="28">
        <f t="shared" si="0"/>
        <v>0.8</v>
      </c>
      <c r="R4" s="27">
        <f t="shared" si="1"/>
        <v>5.6000000000000005</v>
      </c>
      <c r="S4" s="27"/>
      <c r="T4" s="39"/>
      <c r="U4" s="40"/>
      <c r="V4" s="40"/>
      <c r="W4" s="40"/>
    </row>
    <row r="5" spans="1:23" ht="14.25" customHeight="1">
      <c r="A5" s="27" t="s">
        <v>407</v>
      </c>
      <c r="B5" s="27" t="s">
        <v>413</v>
      </c>
      <c r="C5" s="27" t="s">
        <v>309</v>
      </c>
      <c r="D5" s="27">
        <v>12</v>
      </c>
      <c r="E5" s="27" t="s">
        <v>310</v>
      </c>
      <c r="F5" s="27" t="s">
        <v>311</v>
      </c>
      <c r="G5" s="27" t="s">
        <v>312</v>
      </c>
      <c r="H5" s="28" t="s">
        <v>313</v>
      </c>
      <c r="I5" s="28" t="s">
        <v>314</v>
      </c>
      <c r="J5" s="28" t="s">
        <v>315</v>
      </c>
      <c r="K5" s="28" t="s">
        <v>316</v>
      </c>
      <c r="L5" s="28" t="s">
        <v>317</v>
      </c>
      <c r="M5" s="28" t="s">
        <v>318</v>
      </c>
      <c r="N5" s="28" t="s">
        <v>319</v>
      </c>
      <c r="O5" s="28" t="s">
        <v>268</v>
      </c>
      <c r="P5" s="30" t="s">
        <v>0</v>
      </c>
      <c r="Q5" s="28">
        <f t="shared" si="0"/>
        <v>1</v>
      </c>
      <c r="R5" s="27">
        <f t="shared" si="1"/>
        <v>12</v>
      </c>
      <c r="S5" s="27"/>
      <c r="T5" s="39"/>
      <c r="U5" s="40"/>
      <c r="V5" s="40"/>
      <c r="W5" s="40"/>
    </row>
    <row r="6" spans="1:23" ht="14.25" customHeight="1">
      <c r="A6" s="27" t="s">
        <v>407</v>
      </c>
      <c r="B6" s="27" t="s">
        <v>413</v>
      </c>
      <c r="C6" s="27" t="s">
        <v>320</v>
      </c>
      <c r="D6" s="27">
        <v>8</v>
      </c>
      <c r="E6" s="27" t="s">
        <v>310</v>
      </c>
      <c r="F6" s="27" t="s">
        <v>321</v>
      </c>
      <c r="G6" s="27" t="s">
        <v>321</v>
      </c>
      <c r="H6" s="28" t="s">
        <v>322</v>
      </c>
      <c r="I6" s="28" t="s">
        <v>323</v>
      </c>
      <c r="J6" s="28" t="s">
        <v>324</v>
      </c>
      <c r="K6" s="28" t="s">
        <v>325</v>
      </c>
      <c r="L6" s="28" t="s">
        <v>326</v>
      </c>
      <c r="M6" s="28" t="s">
        <v>327</v>
      </c>
      <c r="N6" s="28" t="s">
        <v>328</v>
      </c>
      <c r="O6" s="28" t="s">
        <v>329</v>
      </c>
      <c r="P6" s="30" t="s">
        <v>417</v>
      </c>
      <c r="Q6" s="28">
        <f t="shared" si="0"/>
        <v>0.2</v>
      </c>
      <c r="R6" s="27">
        <f t="shared" si="1"/>
        <v>1.6</v>
      </c>
      <c r="S6" s="27"/>
      <c r="T6" s="39"/>
      <c r="U6" s="40"/>
      <c r="V6" s="40"/>
      <c r="W6" s="40"/>
    </row>
    <row r="7" spans="1:23" ht="14.25" customHeight="1">
      <c r="A7" s="27" t="s">
        <v>407</v>
      </c>
      <c r="B7" s="27" t="s">
        <v>413</v>
      </c>
      <c r="C7" s="27" t="s">
        <v>330</v>
      </c>
      <c r="D7" s="27">
        <v>14</v>
      </c>
      <c r="E7" s="27" t="s">
        <v>310</v>
      </c>
      <c r="F7" s="27" t="s">
        <v>331</v>
      </c>
      <c r="G7" s="27" t="s">
        <v>332</v>
      </c>
      <c r="H7" s="28" t="s">
        <v>333</v>
      </c>
      <c r="I7" s="28" t="s">
        <v>334</v>
      </c>
      <c r="J7" s="28" t="s">
        <v>335</v>
      </c>
      <c r="K7" s="28" t="s">
        <v>336</v>
      </c>
      <c r="L7" s="28" t="s">
        <v>337</v>
      </c>
      <c r="M7" s="28" t="s">
        <v>338</v>
      </c>
      <c r="N7" s="28" t="s">
        <v>339</v>
      </c>
      <c r="O7" s="28" t="s">
        <v>269</v>
      </c>
      <c r="P7" s="30" t="s">
        <v>0</v>
      </c>
      <c r="Q7" s="28">
        <f t="shared" si="0"/>
        <v>1</v>
      </c>
      <c r="R7" s="27">
        <f t="shared" si="1"/>
        <v>14</v>
      </c>
      <c r="S7" s="27"/>
      <c r="T7" s="39"/>
      <c r="U7" s="40"/>
      <c r="V7" s="40"/>
      <c r="W7" s="40"/>
    </row>
    <row r="8" spans="1:23" ht="14.25" customHeight="1">
      <c r="A8" s="27" t="s">
        <v>407</v>
      </c>
      <c r="B8" s="27" t="s">
        <v>413</v>
      </c>
      <c r="C8" s="27" t="s">
        <v>340</v>
      </c>
      <c r="D8" s="27">
        <v>13</v>
      </c>
      <c r="E8" s="27" t="s">
        <v>310</v>
      </c>
      <c r="F8" s="27"/>
      <c r="G8" s="27" t="s">
        <v>341</v>
      </c>
      <c r="H8" s="28" t="s">
        <v>342</v>
      </c>
      <c r="I8" s="28" t="s">
        <v>343</v>
      </c>
      <c r="J8" s="28" t="s">
        <v>344</v>
      </c>
      <c r="K8" s="28" t="s">
        <v>345</v>
      </c>
      <c r="L8" s="28" t="s">
        <v>346</v>
      </c>
      <c r="M8" s="28" t="s">
        <v>347</v>
      </c>
      <c r="N8" s="28" t="s">
        <v>348</v>
      </c>
      <c r="O8" s="28" t="s">
        <v>270</v>
      </c>
      <c r="P8" s="30" t="s">
        <v>0</v>
      </c>
      <c r="Q8" s="28">
        <f t="shared" si="0"/>
        <v>1</v>
      </c>
      <c r="R8" s="27">
        <f t="shared" si="1"/>
        <v>13</v>
      </c>
      <c r="S8" s="27"/>
      <c r="T8" s="39"/>
      <c r="U8" s="40"/>
      <c r="V8" s="40"/>
      <c r="W8" s="40"/>
    </row>
    <row r="9" spans="1:23" ht="14.25" customHeight="1">
      <c r="A9" s="27" t="s">
        <v>407</v>
      </c>
      <c r="B9" s="27" t="s">
        <v>413</v>
      </c>
      <c r="C9" s="27" t="s">
        <v>349</v>
      </c>
      <c r="D9" s="27">
        <v>4</v>
      </c>
      <c r="E9" s="27" t="s">
        <v>350</v>
      </c>
      <c r="F9" s="27" t="s">
        <v>351</v>
      </c>
      <c r="G9" s="27" t="s">
        <v>351</v>
      </c>
      <c r="H9" s="28" t="s">
        <v>352</v>
      </c>
      <c r="I9" s="28" t="s">
        <v>353</v>
      </c>
      <c r="J9" s="28" t="s">
        <v>354</v>
      </c>
      <c r="K9" s="28" t="s">
        <v>355</v>
      </c>
      <c r="L9" s="28" t="s">
        <v>356</v>
      </c>
      <c r="M9" s="28" t="s">
        <v>357</v>
      </c>
      <c r="N9" s="28" t="s">
        <v>358</v>
      </c>
      <c r="O9" s="28" t="s">
        <v>271</v>
      </c>
      <c r="P9" s="30" t="s">
        <v>0</v>
      </c>
      <c r="Q9" s="28">
        <f t="shared" si="0"/>
        <v>1</v>
      </c>
      <c r="R9" s="27">
        <f t="shared" si="1"/>
        <v>4</v>
      </c>
      <c r="S9" s="27"/>
      <c r="T9" s="41"/>
      <c r="U9" s="42"/>
      <c r="V9" s="42"/>
      <c r="W9" s="42"/>
    </row>
    <row r="10" spans="1:23" ht="14.25" customHeight="1">
      <c r="A10" s="27" t="s">
        <v>407</v>
      </c>
      <c r="B10" s="27" t="s">
        <v>413</v>
      </c>
      <c r="C10" s="27" t="s">
        <v>359</v>
      </c>
      <c r="D10" s="27">
        <v>5.5</v>
      </c>
      <c r="E10" s="27" t="s">
        <v>350</v>
      </c>
      <c r="F10" s="27" t="s">
        <v>360</v>
      </c>
      <c r="G10" s="27" t="s">
        <v>361</v>
      </c>
      <c r="H10" s="28" t="s">
        <v>362</v>
      </c>
      <c r="I10" s="28" t="s">
        <v>363</v>
      </c>
      <c r="J10" s="28" t="s">
        <v>364</v>
      </c>
      <c r="K10" s="28" t="s">
        <v>365</v>
      </c>
      <c r="L10" s="28" t="s">
        <v>366</v>
      </c>
      <c r="M10" s="28" t="s">
        <v>367</v>
      </c>
      <c r="N10" s="28" t="s">
        <v>368</v>
      </c>
      <c r="O10" s="28" t="s">
        <v>272</v>
      </c>
      <c r="P10" s="30" t="s">
        <v>0</v>
      </c>
      <c r="Q10" s="28">
        <f t="shared" si="0"/>
        <v>1</v>
      </c>
      <c r="R10" s="27">
        <f t="shared" si="1"/>
        <v>5.5</v>
      </c>
      <c r="S10" s="27"/>
      <c r="T10" s="31" t="s">
        <v>277</v>
      </c>
      <c r="U10" s="33" t="s">
        <v>420</v>
      </c>
      <c r="V10" s="35"/>
      <c r="W10" s="35"/>
    </row>
    <row r="11" spans="1:23" ht="14.25" customHeight="1">
      <c r="A11" s="27" t="s">
        <v>407</v>
      </c>
      <c r="B11" s="27" t="s">
        <v>413</v>
      </c>
      <c r="C11" s="27" t="s">
        <v>369</v>
      </c>
      <c r="D11" s="27">
        <v>5.5</v>
      </c>
      <c r="E11" s="27" t="s">
        <v>350</v>
      </c>
      <c r="F11" s="27"/>
      <c r="G11" s="27" t="s">
        <v>370</v>
      </c>
      <c r="H11" s="28" t="s">
        <v>371</v>
      </c>
      <c r="I11" s="28" t="s">
        <v>372</v>
      </c>
      <c r="J11" s="28" t="s">
        <v>373</v>
      </c>
      <c r="K11" s="28" t="s">
        <v>374</v>
      </c>
      <c r="L11" s="28" t="s">
        <v>375</v>
      </c>
      <c r="M11" s="28" t="s">
        <v>376</v>
      </c>
      <c r="N11" s="28" t="s">
        <v>377</v>
      </c>
      <c r="O11" s="28" t="s">
        <v>273</v>
      </c>
      <c r="P11" s="30" t="s">
        <v>0</v>
      </c>
      <c r="Q11" s="28">
        <f t="shared" si="0"/>
        <v>1</v>
      </c>
      <c r="R11" s="27">
        <f t="shared" si="1"/>
        <v>5.5</v>
      </c>
      <c r="S11" s="27"/>
      <c r="T11" s="32"/>
      <c r="U11" s="35"/>
      <c r="V11" s="35"/>
      <c r="W11" s="35"/>
    </row>
    <row r="12" spans="1:23" ht="14.25" customHeight="1">
      <c r="A12" s="27" t="s">
        <v>407</v>
      </c>
      <c r="B12" s="27" t="s">
        <v>413</v>
      </c>
      <c r="C12" s="27" t="s">
        <v>378</v>
      </c>
      <c r="D12" s="27">
        <v>4</v>
      </c>
      <c r="E12" s="27" t="s">
        <v>350</v>
      </c>
      <c r="F12" s="27" t="s">
        <v>379</v>
      </c>
      <c r="G12" s="27" t="s">
        <v>380</v>
      </c>
      <c r="H12" s="28" t="s">
        <v>381</v>
      </c>
      <c r="I12" s="28" t="s">
        <v>382</v>
      </c>
      <c r="J12" s="28" t="s">
        <v>383</v>
      </c>
      <c r="K12" s="28" t="s">
        <v>384</v>
      </c>
      <c r="L12" s="28" t="s">
        <v>385</v>
      </c>
      <c r="M12" s="28" t="s">
        <v>386</v>
      </c>
      <c r="N12" s="28" t="s">
        <v>387</v>
      </c>
      <c r="O12" s="28" t="s">
        <v>274</v>
      </c>
      <c r="P12" s="30" t="s">
        <v>0</v>
      </c>
      <c r="Q12" s="28">
        <f t="shared" si="0"/>
        <v>1</v>
      </c>
      <c r="R12" s="27">
        <f t="shared" si="1"/>
        <v>4</v>
      </c>
      <c r="S12" s="27"/>
      <c r="T12" s="31" t="s">
        <v>278</v>
      </c>
      <c r="U12" s="33" t="s">
        <v>421</v>
      </c>
      <c r="V12" s="35"/>
      <c r="W12" s="35"/>
    </row>
    <row r="13" spans="1:23" ht="14.25" customHeight="1">
      <c r="A13" s="27" t="s">
        <v>407</v>
      </c>
      <c r="B13" s="27" t="s">
        <v>413</v>
      </c>
      <c r="C13" s="27" t="s">
        <v>388</v>
      </c>
      <c r="D13" s="27">
        <v>5</v>
      </c>
      <c r="E13" s="27" t="s">
        <v>350</v>
      </c>
      <c r="F13" s="27"/>
      <c r="G13" s="27" t="s">
        <v>389</v>
      </c>
      <c r="H13" s="28" t="s">
        <v>390</v>
      </c>
      <c r="I13" s="28" t="s">
        <v>391</v>
      </c>
      <c r="J13" s="28" t="s">
        <v>392</v>
      </c>
      <c r="K13" s="28" t="s">
        <v>393</v>
      </c>
      <c r="L13" s="28" t="s">
        <v>394</v>
      </c>
      <c r="M13" s="28" t="s">
        <v>395</v>
      </c>
      <c r="N13" s="28" t="s">
        <v>396</v>
      </c>
      <c r="O13" s="28" t="s">
        <v>275</v>
      </c>
      <c r="P13" s="30" t="s">
        <v>0</v>
      </c>
      <c r="Q13" s="28">
        <f t="shared" si="0"/>
        <v>1</v>
      </c>
      <c r="R13" s="28">
        <f t="shared" si="1"/>
        <v>5</v>
      </c>
      <c r="S13" s="28"/>
      <c r="T13" s="32"/>
      <c r="U13" s="35"/>
      <c r="V13" s="35"/>
      <c r="W13" s="35"/>
    </row>
    <row r="14" spans="1:23" ht="14.25" customHeight="1">
      <c r="A14" s="27" t="s">
        <v>407</v>
      </c>
      <c r="B14" s="27" t="s">
        <v>413</v>
      </c>
      <c r="C14" s="27" t="s">
        <v>397</v>
      </c>
      <c r="D14" s="27">
        <v>4</v>
      </c>
      <c r="E14" s="27" t="s">
        <v>350</v>
      </c>
      <c r="F14" s="27" t="s">
        <v>398</v>
      </c>
      <c r="G14" s="27" t="s">
        <v>399</v>
      </c>
      <c r="H14" s="28" t="s">
        <v>400</v>
      </c>
      <c r="I14" s="28" t="s">
        <v>401</v>
      </c>
      <c r="J14" s="28" t="s">
        <v>402</v>
      </c>
      <c r="K14" s="28" t="s">
        <v>403</v>
      </c>
      <c r="L14" s="28" t="s">
        <v>404</v>
      </c>
      <c r="M14" s="28" t="s">
        <v>405</v>
      </c>
      <c r="N14" s="28" t="s">
        <v>406</v>
      </c>
      <c r="O14" s="28" t="s">
        <v>276</v>
      </c>
      <c r="P14" s="30" t="s">
        <v>0</v>
      </c>
      <c r="Q14" s="28">
        <f t="shared" si="0"/>
        <v>1</v>
      </c>
      <c r="R14" s="28">
        <f t="shared" si="1"/>
        <v>4</v>
      </c>
      <c r="S14" s="28"/>
      <c r="T14" s="31" t="s">
        <v>279</v>
      </c>
      <c r="U14" s="33" t="s">
        <v>422</v>
      </c>
      <c r="V14" s="34"/>
      <c r="W14" s="34"/>
    </row>
    <row r="15" spans="1:23" ht="14.25" customHeight="1">
      <c r="A15" s="27"/>
      <c r="B15" s="27"/>
      <c r="C15" s="27"/>
      <c r="D15" s="27"/>
      <c r="E15" s="27"/>
      <c r="F15" s="27"/>
      <c r="G15" s="27"/>
      <c r="H15" s="28"/>
      <c r="I15" s="28"/>
      <c r="J15" s="28"/>
      <c r="K15" s="28"/>
      <c r="L15" s="28"/>
      <c r="M15" s="28"/>
      <c r="N15" s="28"/>
      <c r="O15" s="27"/>
      <c r="P15" s="27"/>
      <c r="Q15" s="27"/>
      <c r="R15" s="28"/>
      <c r="S15" s="28"/>
      <c r="T15" s="32"/>
      <c r="U15" s="34"/>
      <c r="V15" s="34"/>
      <c r="W15" s="34"/>
    </row>
    <row r="16" spans="1:23" ht="14.25" customHeight="1">
      <c r="A16" s="27"/>
      <c r="B16" s="27"/>
      <c r="C16" s="27"/>
      <c r="D16" s="27"/>
      <c r="E16" s="27"/>
      <c r="F16" s="27"/>
      <c r="G16" s="27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31" t="s">
        <v>280</v>
      </c>
      <c r="U16" s="33" t="s">
        <v>423</v>
      </c>
      <c r="V16" s="35"/>
      <c r="W16" s="35"/>
    </row>
    <row r="17" spans="1:23" ht="14.25" customHeight="1">
      <c r="A17" s="27"/>
      <c r="B17" s="27"/>
      <c r="C17" s="27"/>
      <c r="D17" s="27"/>
      <c r="E17" s="27"/>
      <c r="F17" s="27"/>
      <c r="G17" s="27"/>
      <c r="H17" s="27"/>
      <c r="I17" s="27"/>
      <c r="J17" s="28"/>
      <c r="K17" s="29"/>
      <c r="L17" s="28"/>
      <c r="M17" s="28"/>
      <c r="N17" s="28"/>
      <c r="O17" s="28"/>
      <c r="P17" s="28"/>
      <c r="Q17" s="28"/>
      <c r="R17" s="27"/>
      <c r="S17" s="27"/>
      <c r="T17" s="32"/>
      <c r="U17" s="35"/>
      <c r="V17" s="35"/>
      <c r="W17" s="35"/>
    </row>
    <row r="18" spans="1:23" ht="14.25" customHeight="1">
      <c r="A18" s="27"/>
      <c r="B18" s="27"/>
      <c r="C18" s="27"/>
      <c r="D18" s="27"/>
      <c r="E18" s="27"/>
      <c r="F18" s="27"/>
      <c r="G18" s="27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7"/>
      <c r="S18" s="27"/>
      <c r="T18" s="31" t="s">
        <v>281</v>
      </c>
      <c r="U18" s="33" t="s">
        <v>424</v>
      </c>
      <c r="V18" s="35"/>
      <c r="W18" s="35"/>
    </row>
    <row r="19" spans="1:23" ht="14.25" customHeight="1">
      <c r="A19" s="27"/>
      <c r="B19" s="27"/>
      <c r="C19" s="27"/>
      <c r="D19" s="27"/>
      <c r="E19" s="27"/>
      <c r="F19" s="27"/>
      <c r="G19" s="27"/>
      <c r="H19" s="27"/>
      <c r="I19" s="27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32"/>
      <c r="U19" s="35"/>
      <c r="V19" s="35"/>
      <c r="W19" s="35"/>
    </row>
    <row r="20" spans="1:23" ht="14.25" customHeight="1">
      <c r="A20" s="27"/>
      <c r="B20" s="27"/>
      <c r="C20" s="27"/>
      <c r="D20" s="27"/>
      <c r="E20" s="27"/>
      <c r="F20" s="27"/>
      <c r="G20" s="27"/>
      <c r="H20" s="27"/>
      <c r="I20" s="27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31" t="s">
        <v>282</v>
      </c>
      <c r="U20" s="33" t="s">
        <v>425</v>
      </c>
      <c r="V20" s="34"/>
      <c r="W20" s="34"/>
    </row>
    <row r="21" spans="1:23" ht="14.25" hidden="1" customHeight="1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32"/>
      <c r="U21" s="34"/>
      <c r="V21" s="34"/>
      <c r="W21" s="34"/>
    </row>
    <row r="22" spans="1:23" ht="14.25" hidden="1" customHeight="1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3" ht="14.25" hidden="1" customHeight="1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3" ht="14.25" hidden="1" customHeight="1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3" ht="14.25" hidden="1" customHeight="1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3" ht="14.25" hidden="1" customHeight="1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</row>
    <row r="27" spans="1:23" ht="14.25" hidden="1" customHeight="1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</row>
    <row r="28" spans="1:23" ht="14.25" hidden="1" customHeight="1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</row>
    <row r="29" spans="1:23" ht="14.25" hidden="1" customHeight="1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</row>
    <row r="30" spans="1:23" ht="14.25" hidden="1" customHeigh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</row>
    <row r="31" spans="1:23" ht="14.25" hidden="1" customHeight="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3" ht="14.25" hidden="1" customHeight="1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2" ht="14.25" hidden="1" customHeight="1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2" ht="14.25" hidden="1" customHeight="1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2" ht="14.25" hidden="1" customHeight="1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ht="14.25" hidden="1" customHeight="1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ht="14.25" hidden="1" customHeigh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</row>
    <row r="38" spans="1:22" ht="14.25" hidden="1" customHeight="1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</row>
    <row r="39" spans="1:22" ht="14.25" hidden="1" customHeight="1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</row>
    <row r="40" spans="1:22" ht="14.25" hidden="1" customHeight="1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</row>
    <row r="41" spans="1:22" hidden="1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</row>
    <row r="42" spans="1:22" hidden="1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</row>
    <row r="43" spans="1:22" hidden="1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</row>
    <row r="44" spans="1:22" hidden="1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</row>
    <row r="45" spans="1:22" hidden="1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  <row r="46" spans="1:22" hidden="1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</row>
    <row r="47" spans="1:22" hidden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</row>
    <row r="48" spans="1:22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</row>
    <row r="49" spans="1:24" ht="27" customHeight="1">
      <c r="A49" s="15"/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</row>
    <row r="50" spans="1:24" ht="22.5">
      <c r="A50" s="16"/>
      <c r="B50" s="16"/>
      <c r="C50" s="26" t="s">
        <v>407</v>
      </c>
      <c r="D50" s="26" t="s">
        <v>413</v>
      </c>
      <c r="E50" s="17">
        <f>SUM(R2:R20)</f>
        <v>92.2</v>
      </c>
      <c r="F50" s="16"/>
      <c r="G50" s="16"/>
      <c r="H50" s="16"/>
      <c r="I50" s="16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</row>
    <row r="51" spans="1:24" ht="13.5" customHeight="1">
      <c r="A51" s="16"/>
      <c r="B51" s="16"/>
      <c r="C51" s="16"/>
      <c r="D51" s="16"/>
      <c r="E51" s="16"/>
      <c r="F51" s="16"/>
      <c r="G51" s="16"/>
      <c r="H51" s="16"/>
      <c r="I51" s="16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</row>
    <row r="52" spans="1:24" ht="25.5" customHeight="1">
      <c r="A52" s="16" t="str">
        <f>IF(C19&lt;&gt;"",C19,"")</f>
        <v/>
      </c>
      <c r="B52" s="16" t="str">
        <f t="shared" ref="B52:D53" si="2">IF(E19&lt;&gt;"",E19,"")</f>
        <v/>
      </c>
      <c r="C52" s="19" t="str">
        <f t="shared" si="2"/>
        <v/>
      </c>
      <c r="D52" s="19" t="str">
        <f t="shared" si="2"/>
        <v/>
      </c>
      <c r="E52" s="19" t="str">
        <f>IF(D19&lt;&gt;"",D19,"")</f>
        <v/>
      </c>
      <c r="F52" s="25"/>
      <c r="G52" s="20">
        <f t="shared" ref="G52:G53" si="3">IF(F52="A", 1, IF(F52="B", 0.8, IF(F52="C", 0.6, IF(F52="D", 0.4, IF(F52="E", 0.2, 0)))))</f>
        <v>0</v>
      </c>
      <c r="H52" s="20">
        <f t="shared" ref="H52:H53" si="4">IFERROR(E52*G52,0)</f>
        <v>0</v>
      </c>
      <c r="I52" s="20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</row>
    <row r="53" spans="1:24" ht="25.5" customHeight="1">
      <c r="A53" s="16" t="str">
        <f>IF(C20&lt;&gt;"",C20,"")</f>
        <v/>
      </c>
      <c r="B53" s="16" t="str">
        <f t="shared" si="2"/>
        <v/>
      </c>
      <c r="C53" s="19" t="str">
        <f t="shared" si="2"/>
        <v/>
      </c>
      <c r="D53" s="19" t="str">
        <f t="shared" si="2"/>
        <v/>
      </c>
      <c r="E53" s="19" t="str">
        <f>IF(D20&lt;&gt;"",D20,"")</f>
        <v/>
      </c>
      <c r="F53" s="25"/>
      <c r="G53" s="20">
        <f t="shared" si="3"/>
        <v>0</v>
      </c>
      <c r="H53" s="20">
        <f t="shared" si="4"/>
        <v>0</v>
      </c>
      <c r="I53" s="20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</row>
    <row r="54" spans="1:24" ht="17.25" customHeight="1">
      <c r="A54" s="16"/>
      <c r="B54" s="16" t="str">
        <f t="shared" ref="B54:B65" si="5">IF(E21&lt;&gt;"",E21,"")</f>
        <v/>
      </c>
      <c r="C54" s="19"/>
      <c r="D54" s="19"/>
      <c r="E54" s="19"/>
      <c r="F54" s="25"/>
      <c r="G54" s="20"/>
      <c r="H54" s="20"/>
      <c r="I54" s="20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</row>
    <row r="55" spans="1:24" ht="17.25" customHeight="1">
      <c r="A55" s="16"/>
      <c r="B55" s="16" t="str">
        <f t="shared" si="5"/>
        <v/>
      </c>
      <c r="C55" s="19"/>
      <c r="D55" s="19"/>
      <c r="E55" s="19"/>
      <c r="F55" s="25"/>
      <c r="G55" s="20"/>
      <c r="H55" s="20"/>
      <c r="I55" s="20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</row>
    <row r="56" spans="1:24" ht="17.25" customHeight="1">
      <c r="A56" s="16"/>
      <c r="B56" s="16" t="str">
        <f t="shared" si="5"/>
        <v/>
      </c>
      <c r="C56" s="19"/>
      <c r="D56" s="19"/>
      <c r="E56" s="19"/>
      <c r="F56" s="25"/>
      <c r="G56" s="20"/>
      <c r="H56" s="20"/>
      <c r="I56" s="20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</row>
    <row r="57" spans="1:24" ht="17.25" customHeight="1">
      <c r="A57" s="16"/>
      <c r="B57" s="16" t="str">
        <f t="shared" si="5"/>
        <v/>
      </c>
      <c r="C57" s="19"/>
      <c r="D57" s="19"/>
      <c r="E57" s="19"/>
      <c r="F57" s="25"/>
      <c r="G57" s="20"/>
      <c r="H57" s="20"/>
      <c r="I57" s="20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</row>
    <row r="58" spans="1:24" ht="17.25" customHeight="1">
      <c r="A58" s="16"/>
      <c r="B58" s="16" t="str">
        <f t="shared" si="5"/>
        <v/>
      </c>
      <c r="C58" s="19"/>
      <c r="D58" s="19"/>
      <c r="E58" s="19"/>
      <c r="F58" s="25"/>
      <c r="G58" s="20"/>
      <c r="H58" s="20"/>
      <c r="I58" s="20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</row>
    <row r="59" spans="1:24" ht="17.25" customHeight="1">
      <c r="A59" s="16"/>
      <c r="B59" s="16" t="str">
        <f t="shared" si="5"/>
        <v/>
      </c>
      <c r="C59" s="19"/>
      <c r="D59" s="19"/>
      <c r="E59" s="19"/>
      <c r="F59" s="25"/>
      <c r="G59" s="20"/>
      <c r="H59" s="20"/>
      <c r="I59" s="20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</row>
    <row r="60" spans="1:24" ht="17.25" customHeight="1">
      <c r="A60" s="16"/>
      <c r="B60" s="16" t="str">
        <f t="shared" si="5"/>
        <v/>
      </c>
      <c r="C60" s="19"/>
      <c r="D60" s="19"/>
      <c r="E60" s="19"/>
      <c r="F60" s="25"/>
      <c r="G60" s="20"/>
      <c r="H60" s="20"/>
      <c r="I60" s="20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</row>
    <row r="61" spans="1:24" ht="17.25" customHeight="1">
      <c r="A61" s="16"/>
      <c r="B61" s="16" t="str">
        <f t="shared" si="5"/>
        <v/>
      </c>
      <c r="C61" s="19"/>
      <c r="D61" s="19"/>
      <c r="E61" s="19"/>
      <c r="F61" s="25"/>
      <c r="G61" s="20"/>
      <c r="H61" s="20"/>
      <c r="I61" s="20"/>
      <c r="J61" s="24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</row>
    <row r="62" spans="1:24" ht="17.25" customHeight="1">
      <c r="A62" s="16"/>
      <c r="B62" s="16" t="str">
        <f t="shared" si="5"/>
        <v/>
      </c>
      <c r="C62" s="19"/>
      <c r="D62" s="19"/>
      <c r="E62" s="19"/>
      <c r="F62" s="25"/>
      <c r="G62" s="20"/>
      <c r="H62" s="20"/>
      <c r="I62" s="20"/>
      <c r="J62" s="24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</row>
    <row r="63" spans="1:24" ht="17.25" customHeight="1">
      <c r="A63" s="16"/>
      <c r="B63" s="16" t="str">
        <f t="shared" si="5"/>
        <v/>
      </c>
      <c r="C63" s="19"/>
      <c r="D63" s="19"/>
      <c r="E63" s="19"/>
      <c r="F63" s="25"/>
      <c r="G63" s="20"/>
      <c r="H63" s="20"/>
      <c r="I63" s="20"/>
      <c r="J63" s="24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</row>
    <row r="64" spans="1:24" ht="17.25" customHeight="1">
      <c r="A64" s="16"/>
      <c r="B64" s="16" t="str">
        <f t="shared" si="5"/>
        <v/>
      </c>
      <c r="C64" s="19"/>
      <c r="D64" s="19"/>
      <c r="E64" s="19"/>
      <c r="F64" s="25"/>
      <c r="G64" s="20"/>
      <c r="H64" s="20"/>
      <c r="I64" s="20"/>
      <c r="J64" s="24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</row>
    <row r="65" spans="1:23">
      <c r="A65" s="16" t="str">
        <f>IF(C32&lt;&gt;"",C32,"")</f>
        <v/>
      </c>
      <c r="B65" s="16" t="str">
        <f t="shared" si="5"/>
        <v/>
      </c>
      <c r="C65" s="19"/>
      <c r="D65" s="19"/>
      <c r="E65" s="19"/>
      <c r="F65" s="25"/>
      <c r="G65" s="20"/>
      <c r="H65" s="20"/>
      <c r="I65" s="20"/>
      <c r="J65" s="24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</row>
    <row r="67" spans="1:23">
      <c r="H67">
        <f>SUM(H52:H65)</f>
        <v>0</v>
      </c>
    </row>
  </sheetData>
  <mergeCells count="14">
    <mergeCell ref="T1:W1"/>
    <mergeCell ref="T2:W9"/>
    <mergeCell ref="T10:T11"/>
    <mergeCell ref="U10:W11"/>
    <mergeCell ref="T12:T13"/>
    <mergeCell ref="U12:W13"/>
    <mergeCell ref="T20:T21"/>
    <mergeCell ref="U20:W21"/>
    <mergeCell ref="T14:T15"/>
    <mergeCell ref="U14:W15"/>
    <mergeCell ref="T16:T17"/>
    <mergeCell ref="U16:W17"/>
    <mergeCell ref="T18:T19"/>
    <mergeCell ref="U18:W19"/>
  </mergeCells>
  <phoneticPr fontId="2" type="noConversion"/>
  <conditionalFormatting sqref="D52:E65 G52:I65">
    <cfRule type="expression" dxfId="4" priority="4">
      <formula>AND(LEN(TRIM($A52))&gt;0,$J52=0)</formula>
    </cfRule>
    <cfRule type="expression" dxfId="3" priority="5">
      <formula>AND(LEN(TRIM($A52))&gt;0,$J52=1)</formula>
    </cfRule>
  </conditionalFormatting>
  <conditionalFormatting sqref="C52:C64">
    <cfRule type="expression" dxfId="2" priority="1" stopIfTrue="1">
      <formula>AND(LEN(TRIM($A52))&gt;0,LEN($D52)&gt;0,LEN($A53)=0,LEN($C52)&gt;0)</formula>
    </cfRule>
    <cfRule type="expression" dxfId="1" priority="2" stopIfTrue="1">
      <formula>AND(LEN(TRIM($A52))&gt;0,LEN($D52)&gt;0,LEN($A53)=0,LEN($C52)=0)</formula>
    </cfRule>
    <cfRule type="expression" dxfId="0" priority="3" stopIfTrue="1">
      <formula>AND(LEN(TRIM($A52))&gt;0,LEN($C52)&gt;0)</formula>
    </cfRule>
  </conditionalFormatting>
  <dataValidations count="3">
    <dataValidation type="list" allowBlank="1" showInputMessage="1" showErrorMessage="1" sqref="P2:P14">
      <formula1>"A,B,C,D,E,F"</formula1>
    </dataValidation>
    <dataValidation type="list" allowBlank="1" showInputMessage="1" showErrorMessage="1" sqref="C50">
      <formula1>"대기업,외감,비외감"</formula1>
    </dataValidation>
    <dataValidation type="list" allowBlank="1" showInputMessage="1" showErrorMessage="1" sqref="D50">
      <formula1>"중공업,경공업,도소매업,기타서비스업"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비재무항목</vt:lpstr>
      <vt:lpstr>비재무모형</vt:lpstr>
    </vt:vector>
  </TitlesOfParts>
  <Company>hanabank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hanabank</dc:creator>
  <cp:lastModifiedBy>kimdaeho</cp:lastModifiedBy>
  <cp:lastPrinted>2018-06-21T00:00:56Z</cp:lastPrinted>
  <dcterms:created xsi:type="dcterms:W3CDTF">2011-05-25T08:47:21Z</dcterms:created>
  <dcterms:modified xsi:type="dcterms:W3CDTF">2021-04-05T02:58:07Z</dcterms:modified>
</cp:coreProperties>
</file>